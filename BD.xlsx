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Facultate-Ana\MDS\Proiect\"/>
    </mc:Choice>
  </mc:AlternateContent>
  <xr:revisionPtr revIDLastSave="0" documentId="13_ncr:1_{5F2A65A0-303B-42D1-A5E0-6B14FD7D1813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1" sheetId="1" r:id="rId1"/>
    <sheet name="Sheet1 (2)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79" i="3" l="1"/>
  <c r="AF179" i="3"/>
  <c r="AE179" i="3"/>
  <c r="AD179" i="3"/>
  <c r="AC179" i="3"/>
  <c r="AB179" i="3"/>
  <c r="AA179" i="3"/>
  <c r="Z179" i="3"/>
  <c r="Y179" i="3"/>
  <c r="AG178" i="3"/>
  <c r="AF178" i="3"/>
  <c r="AE178" i="3"/>
  <c r="AD178" i="3"/>
  <c r="AC178" i="3"/>
  <c r="AB178" i="3"/>
  <c r="AA178" i="3"/>
  <c r="Z178" i="3"/>
  <c r="Y178" i="3"/>
  <c r="AG177" i="3"/>
  <c r="AF177" i="3"/>
  <c r="AE177" i="3"/>
  <c r="AD177" i="3"/>
  <c r="AC177" i="3"/>
  <c r="AB177" i="3"/>
  <c r="AA177" i="3"/>
  <c r="Z177" i="3"/>
  <c r="Y177" i="3"/>
  <c r="AG176" i="3"/>
  <c r="AF176" i="3"/>
  <c r="AE176" i="3"/>
  <c r="AD176" i="3"/>
  <c r="AC176" i="3"/>
  <c r="AB176" i="3"/>
  <c r="AA176" i="3"/>
  <c r="Z176" i="3"/>
  <c r="Y176" i="3"/>
  <c r="AG175" i="3"/>
  <c r="AF175" i="3"/>
  <c r="AE175" i="3"/>
  <c r="AD175" i="3"/>
  <c r="AC175" i="3"/>
  <c r="AB175" i="3"/>
  <c r="AA175" i="3"/>
  <c r="Z175" i="3"/>
  <c r="Y175" i="3"/>
  <c r="AG174" i="3"/>
  <c r="AF174" i="3"/>
  <c r="AE174" i="3"/>
  <c r="AD174" i="3"/>
  <c r="AC174" i="3"/>
  <c r="AB174" i="3"/>
  <c r="AA174" i="3"/>
  <c r="Z174" i="3"/>
  <c r="Y174" i="3"/>
  <c r="AG173" i="3"/>
  <c r="AF173" i="3"/>
  <c r="AE173" i="3"/>
  <c r="AD173" i="3"/>
  <c r="AC173" i="3"/>
  <c r="AB173" i="3"/>
  <c r="AA173" i="3"/>
  <c r="Z173" i="3"/>
  <c r="Y173" i="3"/>
  <c r="AG172" i="3"/>
  <c r="AF172" i="3"/>
  <c r="AE172" i="3"/>
  <c r="AD172" i="3"/>
  <c r="AC172" i="3"/>
  <c r="AB172" i="3"/>
  <c r="AA172" i="3"/>
  <c r="Z172" i="3"/>
  <c r="Y172" i="3"/>
  <c r="AG171" i="3"/>
  <c r="AF171" i="3"/>
  <c r="AE171" i="3"/>
  <c r="AD171" i="3"/>
  <c r="AC171" i="3"/>
  <c r="AB171" i="3"/>
  <c r="AA171" i="3"/>
  <c r="Z171" i="3"/>
  <c r="Y171" i="3"/>
  <c r="AG170" i="3"/>
  <c r="AF170" i="3"/>
  <c r="AE170" i="3"/>
  <c r="AD170" i="3"/>
  <c r="AC170" i="3"/>
  <c r="AB170" i="3"/>
  <c r="AA170" i="3"/>
  <c r="Z170" i="3"/>
  <c r="Y170" i="3"/>
  <c r="AG169" i="3"/>
  <c r="AF169" i="3"/>
  <c r="AE169" i="3"/>
  <c r="AD169" i="3"/>
  <c r="AC169" i="3"/>
  <c r="AB169" i="3"/>
  <c r="AA169" i="3"/>
  <c r="Z169" i="3"/>
  <c r="Y169" i="3"/>
  <c r="AG168" i="3"/>
  <c r="AF168" i="3"/>
  <c r="AE168" i="3"/>
  <c r="AD168" i="3"/>
  <c r="AC168" i="3"/>
  <c r="AB168" i="3"/>
  <c r="AA168" i="3"/>
  <c r="Z168" i="3"/>
  <c r="Y168" i="3"/>
  <c r="AG167" i="3"/>
  <c r="AF167" i="3"/>
  <c r="AE167" i="3"/>
  <c r="AD167" i="3"/>
  <c r="AC167" i="3"/>
  <c r="AB167" i="3"/>
  <c r="AA167" i="3"/>
  <c r="Z167" i="3"/>
  <c r="Y167" i="3"/>
  <c r="AG166" i="3"/>
  <c r="AF166" i="3"/>
  <c r="AE166" i="3"/>
  <c r="AD166" i="3"/>
  <c r="AC166" i="3"/>
  <c r="AB166" i="3"/>
  <c r="AA166" i="3"/>
  <c r="Z166" i="3"/>
  <c r="Y166" i="3"/>
  <c r="AG165" i="3"/>
  <c r="AF165" i="3"/>
  <c r="AE165" i="3"/>
  <c r="AD165" i="3"/>
  <c r="AC165" i="3"/>
  <c r="AB165" i="3"/>
  <c r="AA165" i="3"/>
  <c r="Z165" i="3"/>
  <c r="Y165" i="3"/>
  <c r="AG164" i="3"/>
  <c r="AF164" i="3"/>
  <c r="AE164" i="3"/>
  <c r="AD164" i="3"/>
  <c r="AC164" i="3"/>
  <c r="AB164" i="3"/>
  <c r="AA164" i="3"/>
  <c r="Z164" i="3"/>
  <c r="Y164" i="3"/>
  <c r="AG163" i="3"/>
  <c r="AF163" i="3"/>
  <c r="AE163" i="3"/>
  <c r="AD163" i="3"/>
  <c r="AC163" i="3"/>
  <c r="AB163" i="3"/>
  <c r="AA163" i="3"/>
  <c r="Z163" i="3"/>
  <c r="Y163" i="3"/>
  <c r="AG162" i="3"/>
  <c r="AF162" i="3"/>
  <c r="AE162" i="3"/>
  <c r="AD162" i="3"/>
  <c r="AC162" i="3"/>
  <c r="AB162" i="3"/>
  <c r="AA162" i="3"/>
  <c r="Z162" i="3"/>
  <c r="Y162" i="3"/>
  <c r="AG161" i="3"/>
  <c r="AF161" i="3"/>
  <c r="AE161" i="3"/>
  <c r="AD161" i="3"/>
  <c r="AC161" i="3"/>
  <c r="AB161" i="3"/>
  <c r="AA161" i="3"/>
  <c r="Z161" i="3"/>
  <c r="Y161" i="3"/>
  <c r="AG160" i="3"/>
  <c r="AF160" i="3"/>
  <c r="AE160" i="3"/>
  <c r="AD160" i="3"/>
  <c r="AC160" i="3"/>
  <c r="AB160" i="3"/>
  <c r="AA160" i="3"/>
  <c r="Z160" i="3"/>
  <c r="Y160" i="3"/>
  <c r="AG159" i="3"/>
  <c r="AF159" i="3"/>
  <c r="AE159" i="3"/>
  <c r="AD159" i="3"/>
  <c r="AC159" i="3"/>
  <c r="AB159" i="3"/>
  <c r="AA159" i="3"/>
  <c r="Z159" i="3"/>
  <c r="Y159" i="3"/>
  <c r="AG158" i="3"/>
  <c r="AF158" i="3"/>
  <c r="AE158" i="3"/>
  <c r="AD158" i="3"/>
  <c r="AC158" i="3"/>
  <c r="AB158" i="3"/>
  <c r="AA158" i="3"/>
  <c r="Z158" i="3"/>
  <c r="Y158" i="3"/>
  <c r="AG157" i="3"/>
  <c r="AF157" i="3"/>
  <c r="AE157" i="3"/>
  <c r="AD157" i="3"/>
  <c r="AC157" i="3"/>
  <c r="AB157" i="3"/>
  <c r="AA157" i="3"/>
  <c r="Z157" i="3"/>
  <c r="Y157" i="3"/>
  <c r="AG156" i="3"/>
  <c r="AF156" i="3"/>
  <c r="AE156" i="3"/>
  <c r="AD156" i="3"/>
  <c r="AC156" i="3"/>
  <c r="AB156" i="3"/>
  <c r="AA156" i="3"/>
  <c r="Z156" i="3"/>
  <c r="Y156" i="3"/>
  <c r="AG155" i="3"/>
  <c r="AF155" i="3"/>
  <c r="AE155" i="3"/>
  <c r="AD155" i="3"/>
  <c r="AC155" i="3"/>
  <c r="AB155" i="3"/>
  <c r="AA155" i="3"/>
  <c r="Z155" i="3"/>
  <c r="Y155" i="3"/>
  <c r="AG154" i="3"/>
  <c r="AF154" i="3"/>
  <c r="AE154" i="3"/>
  <c r="AD154" i="3"/>
  <c r="AC154" i="3"/>
  <c r="AB154" i="3"/>
  <c r="AA154" i="3"/>
  <c r="Z154" i="3"/>
  <c r="Y154" i="3"/>
  <c r="AG153" i="3"/>
  <c r="AF153" i="3"/>
  <c r="AE153" i="3"/>
  <c r="AD153" i="3"/>
  <c r="AC153" i="3"/>
  <c r="AB153" i="3"/>
  <c r="AA153" i="3"/>
  <c r="Z153" i="3"/>
  <c r="Y153" i="3"/>
  <c r="AG152" i="3"/>
  <c r="AF152" i="3"/>
  <c r="AE152" i="3"/>
  <c r="AD152" i="3"/>
  <c r="AC152" i="3"/>
  <c r="AB152" i="3"/>
  <c r="AA152" i="3"/>
  <c r="Z152" i="3"/>
  <c r="Y152" i="3"/>
  <c r="AG151" i="3"/>
  <c r="AF151" i="3"/>
  <c r="AE151" i="3"/>
  <c r="AD151" i="3"/>
  <c r="AC151" i="3"/>
  <c r="AB151" i="3"/>
  <c r="AA151" i="3"/>
  <c r="Z151" i="3"/>
  <c r="Y151" i="3"/>
  <c r="AG150" i="3"/>
  <c r="AF150" i="3"/>
  <c r="AE150" i="3"/>
  <c r="AD150" i="3"/>
  <c r="AC150" i="3"/>
  <c r="AB150" i="3"/>
  <c r="AA150" i="3"/>
  <c r="Z150" i="3"/>
  <c r="Y150" i="3"/>
  <c r="AG149" i="3"/>
  <c r="AF149" i="3"/>
  <c r="AE149" i="3"/>
  <c r="AD149" i="3"/>
  <c r="AC149" i="3"/>
  <c r="AB149" i="3"/>
  <c r="AA149" i="3"/>
  <c r="Z149" i="3"/>
  <c r="Y149" i="3"/>
  <c r="AG148" i="3"/>
  <c r="AF148" i="3"/>
  <c r="AE148" i="3"/>
  <c r="AD148" i="3"/>
  <c r="AC148" i="3"/>
  <c r="AB148" i="3"/>
  <c r="AA148" i="3"/>
  <c r="Z148" i="3"/>
  <c r="Y148" i="3"/>
  <c r="AG147" i="3"/>
  <c r="AF147" i="3"/>
  <c r="AE147" i="3"/>
  <c r="AD147" i="3"/>
  <c r="AC147" i="3"/>
  <c r="AB147" i="3"/>
  <c r="AA147" i="3"/>
  <c r="Z147" i="3"/>
  <c r="Y147" i="3"/>
  <c r="AG146" i="3"/>
  <c r="AF146" i="3"/>
  <c r="AE146" i="3"/>
  <c r="AD146" i="3"/>
  <c r="AC146" i="3"/>
  <c r="AB146" i="3"/>
  <c r="AA146" i="3"/>
  <c r="Z146" i="3"/>
  <c r="Y146" i="3"/>
  <c r="AG145" i="3"/>
  <c r="AF145" i="3"/>
  <c r="AE145" i="3"/>
  <c r="AD145" i="3"/>
  <c r="AC145" i="3"/>
  <c r="AB145" i="3"/>
  <c r="AA145" i="3"/>
  <c r="Z145" i="3"/>
  <c r="Y145" i="3"/>
  <c r="AG144" i="3"/>
  <c r="AF144" i="3"/>
  <c r="AE144" i="3"/>
  <c r="AD144" i="3"/>
  <c r="AC144" i="3"/>
  <c r="AB144" i="3"/>
  <c r="AA144" i="3"/>
  <c r="Z144" i="3"/>
  <c r="Y144" i="3"/>
  <c r="AG143" i="3"/>
  <c r="AF143" i="3"/>
  <c r="AE143" i="3"/>
  <c r="AD143" i="3"/>
  <c r="AC143" i="3"/>
  <c r="AB143" i="3"/>
  <c r="AA143" i="3"/>
  <c r="Z143" i="3"/>
  <c r="Y143" i="3"/>
  <c r="AG142" i="3"/>
  <c r="AF142" i="3"/>
  <c r="AE142" i="3"/>
  <c r="AD142" i="3"/>
  <c r="AC142" i="3"/>
  <c r="AB142" i="3"/>
  <c r="AA142" i="3"/>
  <c r="Z142" i="3"/>
  <c r="Y142" i="3"/>
  <c r="AG141" i="3"/>
  <c r="AF141" i="3"/>
  <c r="AE141" i="3"/>
  <c r="AD141" i="3"/>
  <c r="AC141" i="3"/>
  <c r="AB141" i="3"/>
  <c r="AA141" i="3"/>
  <c r="Z141" i="3"/>
  <c r="Y141" i="3"/>
  <c r="AG140" i="3"/>
  <c r="AF140" i="3"/>
  <c r="AE140" i="3"/>
  <c r="AD140" i="3"/>
  <c r="AC140" i="3"/>
  <c r="AB140" i="3"/>
  <c r="AA140" i="3"/>
  <c r="Z140" i="3"/>
  <c r="Y140" i="3"/>
  <c r="AG139" i="3"/>
  <c r="AF139" i="3"/>
  <c r="AE139" i="3"/>
  <c r="AD139" i="3"/>
  <c r="AC139" i="3"/>
  <c r="AB139" i="3"/>
  <c r="AA139" i="3"/>
  <c r="Z139" i="3"/>
  <c r="Y139" i="3"/>
  <c r="AG138" i="3"/>
  <c r="AF138" i="3"/>
  <c r="AE138" i="3"/>
  <c r="AD138" i="3"/>
  <c r="AC138" i="3"/>
  <c r="AB138" i="3"/>
  <c r="AA138" i="3"/>
  <c r="Z138" i="3"/>
  <c r="Y138" i="3"/>
  <c r="AG137" i="3"/>
  <c r="AF137" i="3"/>
  <c r="AE137" i="3"/>
  <c r="AD137" i="3"/>
  <c r="AC137" i="3"/>
  <c r="AB137" i="3"/>
  <c r="AA137" i="3"/>
  <c r="Z137" i="3"/>
  <c r="Y137" i="3"/>
  <c r="AG136" i="3"/>
  <c r="AF136" i="3"/>
  <c r="AE136" i="3"/>
  <c r="AD136" i="3"/>
  <c r="AC136" i="3"/>
  <c r="AB136" i="3"/>
  <c r="AA136" i="3"/>
  <c r="Z136" i="3"/>
  <c r="Y136" i="3"/>
  <c r="AG135" i="3"/>
  <c r="AF135" i="3"/>
  <c r="AE135" i="3"/>
  <c r="AD135" i="3"/>
  <c r="AC135" i="3"/>
  <c r="AB135" i="3"/>
  <c r="AA135" i="3"/>
  <c r="Z135" i="3"/>
  <c r="Y135" i="3"/>
  <c r="AG134" i="3"/>
  <c r="AF134" i="3"/>
  <c r="AE134" i="3"/>
  <c r="AD134" i="3"/>
  <c r="AC134" i="3"/>
  <c r="AB134" i="3"/>
  <c r="AA134" i="3"/>
  <c r="Z134" i="3"/>
  <c r="Y134" i="3"/>
  <c r="AG133" i="3"/>
  <c r="AF133" i="3"/>
  <c r="AE133" i="3"/>
  <c r="AD133" i="3"/>
  <c r="AC133" i="3"/>
  <c r="AB133" i="3"/>
  <c r="AA133" i="3"/>
  <c r="Z133" i="3"/>
  <c r="Y133" i="3"/>
  <c r="AG132" i="3"/>
  <c r="AF132" i="3"/>
  <c r="AE132" i="3"/>
  <c r="AD132" i="3"/>
  <c r="AC132" i="3"/>
  <c r="AB132" i="3"/>
  <c r="AA132" i="3"/>
  <c r="Z132" i="3"/>
  <c r="Y132" i="3"/>
  <c r="AG131" i="3"/>
  <c r="AF131" i="3"/>
  <c r="AE131" i="3"/>
  <c r="AD131" i="3"/>
  <c r="AC131" i="3"/>
  <c r="AB131" i="3"/>
  <c r="AA131" i="3"/>
  <c r="Z131" i="3"/>
  <c r="Y131" i="3"/>
  <c r="AG130" i="3"/>
  <c r="AF130" i="3"/>
  <c r="AE130" i="3"/>
  <c r="AD130" i="3"/>
  <c r="AC130" i="3"/>
  <c r="AB130" i="3"/>
  <c r="AA130" i="3"/>
  <c r="Z130" i="3"/>
  <c r="Y130" i="3"/>
  <c r="AG129" i="3"/>
  <c r="AF129" i="3"/>
  <c r="AE129" i="3"/>
  <c r="AD129" i="3"/>
  <c r="AC129" i="3"/>
  <c r="AB129" i="3"/>
  <c r="AA129" i="3"/>
  <c r="Z129" i="3"/>
  <c r="Y129" i="3"/>
  <c r="AG128" i="3"/>
  <c r="AF128" i="3"/>
  <c r="AE128" i="3"/>
  <c r="AD128" i="3"/>
  <c r="AC128" i="3"/>
  <c r="AB128" i="3"/>
  <c r="AA128" i="3"/>
  <c r="Z128" i="3"/>
  <c r="Y128" i="3"/>
  <c r="AG127" i="3"/>
  <c r="AF127" i="3"/>
  <c r="AE127" i="3"/>
  <c r="AD127" i="3"/>
  <c r="AC127" i="3"/>
  <c r="AB127" i="3"/>
  <c r="AA127" i="3"/>
  <c r="Z127" i="3"/>
  <c r="Y127" i="3"/>
  <c r="AG126" i="3"/>
  <c r="AF126" i="3"/>
  <c r="AE126" i="3"/>
  <c r="AD126" i="3"/>
  <c r="AC126" i="3"/>
  <c r="AB126" i="3"/>
  <c r="AA126" i="3"/>
  <c r="Z126" i="3"/>
  <c r="Y126" i="3"/>
  <c r="AG125" i="3"/>
  <c r="AF125" i="3"/>
  <c r="AE125" i="3"/>
  <c r="AD125" i="3"/>
  <c r="AC125" i="3"/>
  <c r="AB125" i="3"/>
  <c r="AA125" i="3"/>
  <c r="Z125" i="3"/>
  <c r="Y125" i="3"/>
  <c r="AG124" i="3"/>
  <c r="AF124" i="3"/>
  <c r="AE124" i="3"/>
  <c r="AD124" i="3"/>
  <c r="AC124" i="3"/>
  <c r="AB124" i="3"/>
  <c r="AA124" i="3"/>
  <c r="Z124" i="3"/>
  <c r="Y124" i="3"/>
  <c r="AG123" i="3"/>
  <c r="AF123" i="3"/>
  <c r="AE123" i="3"/>
  <c r="AD123" i="3"/>
  <c r="AC123" i="3"/>
  <c r="AB123" i="3"/>
  <c r="AA123" i="3"/>
  <c r="Z123" i="3"/>
  <c r="Y123" i="3"/>
  <c r="AG122" i="3"/>
  <c r="AF122" i="3"/>
  <c r="AE122" i="3"/>
  <c r="AD122" i="3"/>
  <c r="AC122" i="3"/>
  <c r="AB122" i="3"/>
  <c r="AA122" i="3"/>
  <c r="Z122" i="3"/>
  <c r="Y122" i="3"/>
  <c r="AG121" i="3"/>
  <c r="AF121" i="3"/>
  <c r="AE121" i="3"/>
  <c r="AD121" i="3"/>
  <c r="AC121" i="3"/>
  <c r="AB121" i="3"/>
  <c r="AA121" i="3"/>
  <c r="Z121" i="3"/>
  <c r="Y121" i="3"/>
  <c r="AG120" i="3"/>
  <c r="AF120" i="3"/>
  <c r="AE120" i="3"/>
  <c r="AD120" i="3"/>
  <c r="AC120" i="3"/>
  <c r="AB120" i="3"/>
  <c r="AA120" i="3"/>
  <c r="Z120" i="3"/>
  <c r="Y120" i="3"/>
  <c r="AG119" i="3"/>
  <c r="AF119" i="3"/>
  <c r="AE119" i="3"/>
  <c r="AD119" i="3"/>
  <c r="AC119" i="3"/>
  <c r="AB119" i="3"/>
  <c r="AA119" i="3"/>
  <c r="Z119" i="3"/>
  <c r="Y119" i="3"/>
  <c r="AG118" i="3"/>
  <c r="AF118" i="3"/>
  <c r="AE118" i="3"/>
  <c r="AD118" i="3"/>
  <c r="AC118" i="3"/>
  <c r="AB118" i="3"/>
  <c r="AA118" i="3"/>
  <c r="Z118" i="3"/>
  <c r="Y118" i="3"/>
  <c r="AG117" i="3"/>
  <c r="AF117" i="3"/>
  <c r="AE117" i="3"/>
  <c r="AD117" i="3"/>
  <c r="AC117" i="3"/>
  <c r="AB117" i="3"/>
  <c r="AA117" i="3"/>
  <c r="Z117" i="3"/>
  <c r="Y117" i="3"/>
  <c r="AG116" i="3"/>
  <c r="AF116" i="3"/>
  <c r="AE116" i="3"/>
  <c r="AD116" i="3"/>
  <c r="AC116" i="3"/>
  <c r="AB116" i="3"/>
  <c r="AA116" i="3"/>
  <c r="Z116" i="3"/>
  <c r="Y116" i="3"/>
  <c r="AG115" i="3"/>
  <c r="AF115" i="3"/>
  <c r="AE115" i="3"/>
  <c r="AD115" i="3"/>
  <c r="AC115" i="3"/>
  <c r="AB115" i="3"/>
  <c r="AA115" i="3"/>
  <c r="Z115" i="3"/>
  <c r="Y115" i="3"/>
  <c r="AG114" i="3"/>
  <c r="AF114" i="3"/>
  <c r="AE114" i="3"/>
  <c r="AD114" i="3"/>
  <c r="AC114" i="3"/>
  <c r="AB114" i="3"/>
  <c r="AA114" i="3"/>
  <c r="Z114" i="3"/>
  <c r="Y114" i="3"/>
  <c r="AG113" i="3"/>
  <c r="AF113" i="3"/>
  <c r="AE113" i="3"/>
  <c r="AD113" i="3"/>
  <c r="AC113" i="3"/>
  <c r="AB113" i="3"/>
  <c r="AA113" i="3"/>
  <c r="Z113" i="3"/>
  <c r="Y113" i="3"/>
  <c r="AG112" i="3"/>
  <c r="AF112" i="3"/>
  <c r="AE112" i="3"/>
  <c r="AD112" i="3"/>
  <c r="AC112" i="3"/>
  <c r="AB112" i="3"/>
  <c r="AA112" i="3"/>
  <c r="Z112" i="3"/>
  <c r="Y112" i="3"/>
  <c r="AG111" i="3"/>
  <c r="AF111" i="3"/>
  <c r="AE111" i="3"/>
  <c r="AD111" i="3"/>
  <c r="AC111" i="3"/>
  <c r="AB111" i="3"/>
  <c r="AA111" i="3"/>
  <c r="Z111" i="3"/>
  <c r="Y111" i="3"/>
  <c r="AG110" i="3"/>
  <c r="AF110" i="3"/>
  <c r="AE110" i="3"/>
  <c r="AD110" i="3"/>
  <c r="AC110" i="3"/>
  <c r="AB110" i="3"/>
  <c r="AA110" i="3"/>
  <c r="Z110" i="3"/>
  <c r="Y110" i="3"/>
  <c r="AG109" i="3"/>
  <c r="AF109" i="3"/>
  <c r="AE109" i="3"/>
  <c r="AD109" i="3"/>
  <c r="AC109" i="3"/>
  <c r="AB109" i="3"/>
  <c r="AA109" i="3"/>
  <c r="Z109" i="3"/>
  <c r="Y109" i="3"/>
  <c r="AG108" i="3"/>
  <c r="AF108" i="3"/>
  <c r="AE108" i="3"/>
  <c r="AD108" i="3"/>
  <c r="AC108" i="3"/>
  <c r="AB108" i="3"/>
  <c r="AA108" i="3"/>
  <c r="Z108" i="3"/>
  <c r="Y108" i="3"/>
  <c r="AG107" i="3"/>
  <c r="AF107" i="3"/>
  <c r="AE107" i="3"/>
  <c r="AD107" i="3"/>
  <c r="AC107" i="3"/>
  <c r="AB107" i="3"/>
  <c r="AA107" i="3"/>
  <c r="Z107" i="3"/>
  <c r="Y107" i="3"/>
  <c r="AG106" i="3"/>
  <c r="AF106" i="3"/>
  <c r="AE106" i="3"/>
  <c r="AD106" i="3"/>
  <c r="AC106" i="3"/>
  <c r="AB106" i="3"/>
  <c r="AA106" i="3"/>
  <c r="Z106" i="3"/>
  <c r="Y106" i="3"/>
  <c r="AG105" i="3"/>
  <c r="AF105" i="3"/>
  <c r="AE105" i="3"/>
  <c r="AD105" i="3"/>
  <c r="AC105" i="3"/>
  <c r="AB105" i="3"/>
  <c r="AA105" i="3"/>
  <c r="Z105" i="3"/>
  <c r="Y105" i="3"/>
  <c r="AG104" i="3"/>
  <c r="AF104" i="3"/>
  <c r="AE104" i="3"/>
  <c r="AD104" i="3"/>
  <c r="AC104" i="3"/>
  <c r="AB104" i="3"/>
  <c r="AA104" i="3"/>
  <c r="Z104" i="3"/>
  <c r="Y104" i="3"/>
  <c r="AG103" i="3"/>
  <c r="AF103" i="3"/>
  <c r="AE103" i="3"/>
  <c r="AD103" i="3"/>
  <c r="AC103" i="3"/>
  <c r="AB103" i="3"/>
  <c r="AA103" i="3"/>
  <c r="Z103" i="3"/>
  <c r="Y103" i="3"/>
  <c r="AG102" i="3"/>
  <c r="AF102" i="3"/>
  <c r="AE102" i="3"/>
  <c r="AD102" i="3"/>
  <c r="AC102" i="3"/>
  <c r="AB102" i="3"/>
  <c r="AA102" i="3"/>
  <c r="Z102" i="3"/>
  <c r="Y102" i="3"/>
  <c r="AG101" i="3"/>
  <c r="AF101" i="3"/>
  <c r="AE101" i="3"/>
  <c r="AD101" i="3"/>
  <c r="AC101" i="3"/>
  <c r="AB101" i="3"/>
  <c r="AA101" i="3"/>
  <c r="Z101" i="3"/>
  <c r="Y101" i="3"/>
  <c r="AG100" i="3"/>
  <c r="AF100" i="3"/>
  <c r="AE100" i="3"/>
  <c r="AD100" i="3"/>
  <c r="AC100" i="3"/>
  <c r="AB100" i="3"/>
  <c r="AA100" i="3"/>
  <c r="Z100" i="3"/>
  <c r="Y100" i="3"/>
  <c r="AG99" i="3"/>
  <c r="AF99" i="3"/>
  <c r="AE99" i="3"/>
  <c r="AD99" i="3"/>
  <c r="AC99" i="3"/>
  <c r="AB99" i="3"/>
  <c r="AA99" i="3"/>
  <c r="Z99" i="3"/>
  <c r="Y99" i="3"/>
  <c r="AG98" i="3"/>
  <c r="AF98" i="3"/>
  <c r="AE98" i="3"/>
  <c r="AD98" i="3"/>
  <c r="AC98" i="3"/>
  <c r="AB98" i="3"/>
  <c r="AA98" i="3"/>
  <c r="Z98" i="3"/>
  <c r="Y98" i="3"/>
  <c r="AG97" i="3"/>
  <c r="AF97" i="3"/>
  <c r="AE97" i="3"/>
  <c r="AD97" i="3"/>
  <c r="AC97" i="3"/>
  <c r="AB97" i="3"/>
  <c r="AA97" i="3"/>
  <c r="Z97" i="3"/>
  <c r="Y97" i="3"/>
  <c r="AG96" i="3"/>
  <c r="AF96" i="3"/>
  <c r="AE96" i="3"/>
  <c r="AD96" i="3"/>
  <c r="AC96" i="3"/>
  <c r="AB96" i="3"/>
  <c r="AA96" i="3"/>
  <c r="Z96" i="3"/>
  <c r="Y96" i="3"/>
  <c r="AG95" i="3"/>
  <c r="AF95" i="3"/>
  <c r="AE95" i="3"/>
  <c r="AD95" i="3"/>
  <c r="AC95" i="3"/>
  <c r="AB95" i="3"/>
  <c r="AA95" i="3"/>
  <c r="Z95" i="3"/>
  <c r="Y95" i="3"/>
  <c r="AG94" i="3"/>
  <c r="AF94" i="3"/>
  <c r="AE94" i="3"/>
  <c r="AD94" i="3"/>
  <c r="AC94" i="3"/>
  <c r="AB94" i="3"/>
  <c r="AA94" i="3"/>
  <c r="Z94" i="3"/>
  <c r="Y94" i="3"/>
  <c r="AG93" i="3"/>
  <c r="AF93" i="3"/>
  <c r="AE93" i="3"/>
  <c r="AD93" i="3"/>
  <c r="AC93" i="3"/>
  <c r="AB93" i="3"/>
  <c r="AA93" i="3"/>
  <c r="Z93" i="3"/>
  <c r="Y93" i="3"/>
  <c r="AG92" i="3"/>
  <c r="AF92" i="3"/>
  <c r="AE92" i="3"/>
  <c r="AD92" i="3"/>
  <c r="AC92" i="3"/>
  <c r="AB92" i="3"/>
  <c r="AA92" i="3"/>
  <c r="Z92" i="3"/>
  <c r="Y92" i="3"/>
  <c r="AG91" i="3"/>
  <c r="AF91" i="3"/>
  <c r="AE91" i="3"/>
  <c r="AD91" i="3"/>
  <c r="AC91" i="3"/>
  <c r="AB91" i="3"/>
  <c r="AA91" i="3"/>
  <c r="Z91" i="3"/>
  <c r="Y91" i="3"/>
  <c r="AG90" i="3"/>
  <c r="AF90" i="3"/>
  <c r="AE90" i="3"/>
  <c r="AD90" i="3"/>
  <c r="AC90" i="3"/>
  <c r="AB90" i="3"/>
  <c r="AA90" i="3"/>
  <c r="Z90" i="3"/>
  <c r="Y90" i="3"/>
  <c r="AG89" i="3"/>
  <c r="AF89" i="3"/>
  <c r="AE89" i="3"/>
  <c r="AD89" i="3"/>
  <c r="AC89" i="3"/>
  <c r="AB89" i="3"/>
  <c r="AA89" i="3"/>
  <c r="Z89" i="3"/>
  <c r="Y89" i="3"/>
  <c r="AG88" i="3"/>
  <c r="AF88" i="3"/>
  <c r="AE88" i="3"/>
  <c r="AD88" i="3"/>
  <c r="AC88" i="3"/>
  <c r="AB88" i="3"/>
  <c r="AA88" i="3"/>
  <c r="Z88" i="3"/>
  <c r="Y88" i="3"/>
  <c r="AG87" i="3"/>
  <c r="AF87" i="3"/>
  <c r="AE87" i="3"/>
  <c r="AD87" i="3"/>
  <c r="AC87" i="3"/>
  <c r="AB87" i="3"/>
  <c r="AA87" i="3"/>
  <c r="Z87" i="3"/>
  <c r="Y87" i="3"/>
  <c r="AG86" i="3"/>
  <c r="AF86" i="3"/>
  <c r="AE86" i="3"/>
  <c r="AD86" i="3"/>
  <c r="AC86" i="3"/>
  <c r="AB86" i="3"/>
  <c r="AA86" i="3"/>
  <c r="Z86" i="3"/>
  <c r="Y86" i="3"/>
  <c r="AG85" i="3"/>
  <c r="AF85" i="3"/>
  <c r="AE85" i="3"/>
  <c r="AD85" i="3"/>
  <c r="AC85" i="3"/>
  <c r="AB85" i="3"/>
  <c r="AA85" i="3"/>
  <c r="Z85" i="3"/>
  <c r="Y85" i="3"/>
  <c r="AG84" i="3"/>
  <c r="AF84" i="3"/>
  <c r="AE84" i="3"/>
  <c r="AD84" i="3"/>
  <c r="AC84" i="3"/>
  <c r="AB84" i="3"/>
  <c r="AA84" i="3"/>
  <c r="Z84" i="3"/>
  <c r="Y84" i="3"/>
  <c r="AG83" i="3"/>
  <c r="AF83" i="3"/>
  <c r="AE83" i="3"/>
  <c r="AD83" i="3"/>
  <c r="AC83" i="3"/>
  <c r="AB83" i="3"/>
  <c r="AA83" i="3"/>
  <c r="Z83" i="3"/>
  <c r="Y83" i="3"/>
  <c r="AG82" i="3"/>
  <c r="AF82" i="3"/>
  <c r="AE82" i="3"/>
  <c r="AD82" i="3"/>
  <c r="AC82" i="3"/>
  <c r="AB82" i="3"/>
  <c r="AA82" i="3"/>
  <c r="Z82" i="3"/>
  <c r="Y82" i="3"/>
  <c r="AG81" i="3"/>
  <c r="AF81" i="3"/>
  <c r="AE81" i="3"/>
  <c r="AD81" i="3"/>
  <c r="AC81" i="3"/>
  <c r="AB81" i="3"/>
  <c r="AA81" i="3"/>
  <c r="Z81" i="3"/>
  <c r="Y81" i="3"/>
  <c r="AG80" i="3"/>
  <c r="AF80" i="3"/>
  <c r="AE80" i="3"/>
  <c r="AD80" i="3"/>
  <c r="AC80" i="3"/>
  <c r="AB80" i="3"/>
  <c r="AA80" i="3"/>
  <c r="Z80" i="3"/>
  <c r="Y80" i="3"/>
  <c r="AG79" i="3"/>
  <c r="AF79" i="3"/>
  <c r="AE79" i="3"/>
  <c r="AD79" i="3"/>
  <c r="AC79" i="3"/>
  <c r="AB79" i="3"/>
  <c r="AA79" i="3"/>
  <c r="Z79" i="3"/>
  <c r="Y79" i="3"/>
  <c r="AG78" i="3"/>
  <c r="AF78" i="3"/>
  <c r="AE78" i="3"/>
  <c r="AD78" i="3"/>
  <c r="AC78" i="3"/>
  <c r="AB78" i="3"/>
  <c r="AA78" i="3"/>
  <c r="Z78" i="3"/>
  <c r="Y78" i="3"/>
  <c r="AG77" i="3"/>
  <c r="AF77" i="3"/>
  <c r="AE77" i="3"/>
  <c r="AD77" i="3"/>
  <c r="AC77" i="3"/>
  <c r="AB77" i="3"/>
  <c r="AA77" i="3"/>
  <c r="Z77" i="3"/>
  <c r="Y77" i="3"/>
  <c r="AG76" i="3"/>
  <c r="AF76" i="3"/>
  <c r="AE76" i="3"/>
  <c r="AD76" i="3"/>
  <c r="AC76" i="3"/>
  <c r="AB76" i="3"/>
  <c r="AA76" i="3"/>
  <c r="Z76" i="3"/>
  <c r="Y76" i="3"/>
  <c r="AG75" i="3"/>
  <c r="AF75" i="3"/>
  <c r="AE75" i="3"/>
  <c r="AD75" i="3"/>
  <c r="AC75" i="3"/>
  <c r="AB75" i="3"/>
  <c r="AA75" i="3"/>
  <c r="Z75" i="3"/>
  <c r="Y75" i="3"/>
  <c r="AG74" i="3"/>
  <c r="AF74" i="3"/>
  <c r="AE74" i="3"/>
  <c r="AD74" i="3"/>
  <c r="AC74" i="3"/>
  <c r="AB74" i="3"/>
  <c r="AA74" i="3"/>
  <c r="Z74" i="3"/>
  <c r="Y74" i="3"/>
  <c r="AG73" i="3"/>
  <c r="AF73" i="3"/>
  <c r="AE73" i="3"/>
  <c r="AD73" i="3"/>
  <c r="AC73" i="3"/>
  <c r="AB73" i="3"/>
  <c r="AA73" i="3"/>
  <c r="Z73" i="3"/>
  <c r="Y73" i="3"/>
  <c r="AG72" i="3"/>
  <c r="AF72" i="3"/>
  <c r="AE72" i="3"/>
  <c r="AD72" i="3"/>
  <c r="AC72" i="3"/>
  <c r="AB72" i="3"/>
  <c r="AA72" i="3"/>
  <c r="Z72" i="3"/>
  <c r="Y72" i="3"/>
  <c r="AG71" i="3"/>
  <c r="AF71" i="3"/>
  <c r="AE71" i="3"/>
  <c r="AD71" i="3"/>
  <c r="AC71" i="3"/>
  <c r="AB71" i="3"/>
  <c r="AA71" i="3"/>
  <c r="Z71" i="3"/>
  <c r="Y71" i="3"/>
  <c r="AG70" i="3"/>
  <c r="AF70" i="3"/>
  <c r="AE70" i="3"/>
  <c r="AD70" i="3"/>
  <c r="AC70" i="3"/>
  <c r="AB70" i="3"/>
  <c r="AA70" i="3"/>
  <c r="Z70" i="3"/>
  <c r="Y70" i="3"/>
  <c r="AG69" i="3"/>
  <c r="AF69" i="3"/>
  <c r="AE69" i="3"/>
  <c r="AD69" i="3"/>
  <c r="AC69" i="3"/>
  <c r="AB69" i="3"/>
  <c r="AA69" i="3"/>
  <c r="Z69" i="3"/>
  <c r="Y69" i="3"/>
  <c r="AG68" i="3"/>
  <c r="AF68" i="3"/>
  <c r="AE68" i="3"/>
  <c r="AD68" i="3"/>
  <c r="AC68" i="3"/>
  <c r="AB68" i="3"/>
  <c r="AA68" i="3"/>
  <c r="Z68" i="3"/>
  <c r="Y68" i="3"/>
  <c r="AG67" i="3"/>
  <c r="AF67" i="3"/>
  <c r="AE67" i="3"/>
  <c r="AD67" i="3"/>
  <c r="AC67" i="3"/>
  <c r="AB67" i="3"/>
  <c r="AA67" i="3"/>
  <c r="Z67" i="3"/>
  <c r="Y67" i="3"/>
  <c r="AG66" i="3"/>
  <c r="AF66" i="3"/>
  <c r="AE66" i="3"/>
  <c r="AD66" i="3"/>
  <c r="AC66" i="3"/>
  <c r="AB66" i="3"/>
  <c r="AA66" i="3"/>
  <c r="Z66" i="3"/>
  <c r="Y66" i="3"/>
  <c r="AG65" i="3"/>
  <c r="AF65" i="3"/>
  <c r="AE65" i="3"/>
  <c r="AD65" i="3"/>
  <c r="AC65" i="3"/>
  <c r="AB65" i="3"/>
  <c r="AA65" i="3"/>
  <c r="Z65" i="3"/>
  <c r="Y65" i="3"/>
  <c r="AG64" i="3"/>
  <c r="AF64" i="3"/>
  <c r="AE64" i="3"/>
  <c r="AD64" i="3"/>
  <c r="AC64" i="3"/>
  <c r="AB64" i="3"/>
  <c r="AA64" i="3"/>
  <c r="Z64" i="3"/>
  <c r="Y64" i="3"/>
  <c r="AG63" i="3"/>
  <c r="AF63" i="3"/>
  <c r="AE63" i="3"/>
  <c r="AD63" i="3"/>
  <c r="AC63" i="3"/>
  <c r="AB63" i="3"/>
  <c r="AA63" i="3"/>
  <c r="Z63" i="3"/>
  <c r="Y63" i="3"/>
  <c r="AG62" i="3"/>
  <c r="AF62" i="3"/>
  <c r="AE62" i="3"/>
  <c r="AD62" i="3"/>
  <c r="AC62" i="3"/>
  <c r="AB62" i="3"/>
  <c r="AA62" i="3"/>
  <c r="Z62" i="3"/>
  <c r="Y62" i="3"/>
  <c r="AG61" i="3"/>
  <c r="AF61" i="3"/>
  <c r="AE61" i="3"/>
  <c r="AD61" i="3"/>
  <c r="AC61" i="3"/>
  <c r="AB61" i="3"/>
  <c r="AA61" i="3"/>
  <c r="Z61" i="3"/>
  <c r="Y61" i="3"/>
  <c r="AG60" i="3"/>
  <c r="AF60" i="3"/>
  <c r="AE60" i="3"/>
  <c r="AD60" i="3"/>
  <c r="AC60" i="3"/>
  <c r="AB60" i="3"/>
  <c r="AA60" i="3"/>
  <c r="Z60" i="3"/>
  <c r="Y60" i="3"/>
  <c r="AG59" i="3"/>
  <c r="AF59" i="3"/>
  <c r="AE59" i="3"/>
  <c r="AD59" i="3"/>
  <c r="AC59" i="3"/>
  <c r="AB59" i="3"/>
  <c r="AA59" i="3"/>
  <c r="Z59" i="3"/>
  <c r="Y59" i="3"/>
  <c r="AG58" i="3"/>
  <c r="AF58" i="3"/>
  <c r="AE58" i="3"/>
  <c r="AD58" i="3"/>
  <c r="AC58" i="3"/>
  <c r="AB58" i="3"/>
  <c r="AA58" i="3"/>
  <c r="Z58" i="3"/>
  <c r="Y58" i="3"/>
  <c r="AG57" i="3"/>
  <c r="AF57" i="3"/>
  <c r="AE57" i="3"/>
  <c r="AD57" i="3"/>
  <c r="AC57" i="3"/>
  <c r="AB57" i="3"/>
  <c r="AA57" i="3"/>
  <c r="Z57" i="3"/>
  <c r="Y57" i="3"/>
  <c r="AG56" i="3"/>
  <c r="AF56" i="3"/>
  <c r="AE56" i="3"/>
  <c r="AD56" i="3"/>
  <c r="AC56" i="3"/>
  <c r="AB56" i="3"/>
  <c r="AA56" i="3"/>
  <c r="Z56" i="3"/>
  <c r="Y56" i="3"/>
  <c r="AG55" i="3"/>
  <c r="AF55" i="3"/>
  <c r="AE55" i="3"/>
  <c r="AD55" i="3"/>
  <c r="AC55" i="3"/>
  <c r="AB55" i="3"/>
  <c r="AA55" i="3"/>
  <c r="Z55" i="3"/>
  <c r="Y55" i="3"/>
  <c r="AG54" i="3"/>
  <c r="AF54" i="3"/>
  <c r="AE54" i="3"/>
  <c r="AD54" i="3"/>
  <c r="AC54" i="3"/>
  <c r="AB54" i="3"/>
  <c r="AA54" i="3"/>
  <c r="Z54" i="3"/>
  <c r="Y54" i="3"/>
  <c r="AG53" i="3"/>
  <c r="AF53" i="3"/>
  <c r="AE53" i="3"/>
  <c r="AD53" i="3"/>
  <c r="AC53" i="3"/>
  <c r="AB53" i="3"/>
  <c r="AA53" i="3"/>
  <c r="Z53" i="3"/>
  <c r="Y53" i="3"/>
  <c r="AG52" i="3"/>
  <c r="AF52" i="3"/>
  <c r="AE52" i="3"/>
  <c r="AD52" i="3"/>
  <c r="AC52" i="3"/>
  <c r="AB52" i="3"/>
  <c r="AA52" i="3"/>
  <c r="Z52" i="3"/>
  <c r="Y52" i="3"/>
  <c r="AG51" i="3"/>
  <c r="AF51" i="3"/>
  <c r="AE51" i="3"/>
  <c r="AD51" i="3"/>
  <c r="AC51" i="3"/>
  <c r="AB51" i="3"/>
  <c r="AA51" i="3"/>
  <c r="Z51" i="3"/>
  <c r="Y51" i="3"/>
  <c r="AG50" i="3"/>
  <c r="AF50" i="3"/>
  <c r="AE50" i="3"/>
  <c r="AD50" i="3"/>
  <c r="AC50" i="3"/>
  <c r="AB50" i="3"/>
  <c r="AA50" i="3"/>
  <c r="Z50" i="3"/>
  <c r="Y50" i="3"/>
  <c r="AG49" i="3"/>
  <c r="AF49" i="3"/>
  <c r="AE49" i="3"/>
  <c r="AD49" i="3"/>
  <c r="AC49" i="3"/>
  <c r="AB49" i="3"/>
  <c r="AA49" i="3"/>
  <c r="Z49" i="3"/>
  <c r="Y49" i="3"/>
  <c r="AG48" i="3"/>
  <c r="AF48" i="3"/>
  <c r="AE48" i="3"/>
  <c r="AD48" i="3"/>
  <c r="AC48" i="3"/>
  <c r="AB48" i="3"/>
  <c r="AA48" i="3"/>
  <c r="Z48" i="3"/>
  <c r="Y48" i="3"/>
  <c r="AG47" i="3"/>
  <c r="AF47" i="3"/>
  <c r="AE47" i="3"/>
  <c r="AD47" i="3"/>
  <c r="AC47" i="3"/>
  <c r="AB47" i="3"/>
  <c r="AA47" i="3"/>
  <c r="Z47" i="3"/>
  <c r="Y47" i="3"/>
  <c r="AG46" i="3"/>
  <c r="AF46" i="3"/>
  <c r="AE46" i="3"/>
  <c r="AD46" i="3"/>
  <c r="AC46" i="3"/>
  <c r="AB46" i="3"/>
  <c r="AA46" i="3"/>
  <c r="Z46" i="3"/>
  <c r="Y46" i="3"/>
  <c r="AG45" i="3"/>
  <c r="AF45" i="3"/>
  <c r="AE45" i="3"/>
  <c r="AD45" i="3"/>
  <c r="AC45" i="3"/>
  <c r="AB45" i="3"/>
  <c r="AA45" i="3"/>
  <c r="Z45" i="3"/>
  <c r="Y45" i="3"/>
  <c r="AG44" i="3"/>
  <c r="AF44" i="3"/>
  <c r="AE44" i="3"/>
  <c r="AD44" i="3"/>
  <c r="AC44" i="3"/>
  <c r="AB44" i="3"/>
  <c r="AA44" i="3"/>
  <c r="Z44" i="3"/>
  <c r="Y44" i="3"/>
  <c r="AG43" i="3"/>
  <c r="AF43" i="3"/>
  <c r="AE43" i="3"/>
  <c r="AD43" i="3"/>
  <c r="AC43" i="3"/>
  <c r="AB43" i="3"/>
  <c r="AA43" i="3"/>
  <c r="Z43" i="3"/>
  <c r="Y43" i="3"/>
  <c r="AG42" i="3"/>
  <c r="AF42" i="3"/>
  <c r="AE42" i="3"/>
  <c r="AD42" i="3"/>
  <c r="AC42" i="3"/>
  <c r="AB42" i="3"/>
  <c r="AA42" i="3"/>
  <c r="Z42" i="3"/>
  <c r="Y42" i="3"/>
  <c r="AG41" i="3"/>
  <c r="AF41" i="3"/>
  <c r="AE41" i="3"/>
  <c r="AD41" i="3"/>
  <c r="AC41" i="3"/>
  <c r="AB41" i="3"/>
  <c r="AA41" i="3"/>
  <c r="Z41" i="3"/>
  <c r="Y41" i="3"/>
  <c r="AG40" i="3"/>
  <c r="AF40" i="3"/>
  <c r="AE40" i="3"/>
  <c r="AD40" i="3"/>
  <c r="AC40" i="3"/>
  <c r="AB40" i="3"/>
  <c r="AA40" i="3"/>
  <c r="Z40" i="3"/>
  <c r="Y40" i="3"/>
  <c r="AG39" i="3"/>
  <c r="AF39" i="3"/>
  <c r="AE39" i="3"/>
  <c r="AD39" i="3"/>
  <c r="AC39" i="3"/>
  <c r="AB39" i="3"/>
  <c r="AA39" i="3"/>
  <c r="Z39" i="3"/>
  <c r="Y39" i="3"/>
  <c r="AG38" i="3"/>
  <c r="AF38" i="3"/>
  <c r="AE38" i="3"/>
  <c r="AD38" i="3"/>
  <c r="AC38" i="3"/>
  <c r="AB38" i="3"/>
  <c r="AA38" i="3"/>
  <c r="Z38" i="3"/>
  <c r="Y38" i="3"/>
  <c r="AG37" i="3"/>
  <c r="AF37" i="3"/>
  <c r="AE37" i="3"/>
  <c r="AD37" i="3"/>
  <c r="AC37" i="3"/>
  <c r="AB37" i="3"/>
  <c r="AA37" i="3"/>
  <c r="Z37" i="3"/>
  <c r="Y37" i="3"/>
  <c r="AG36" i="3"/>
  <c r="AF36" i="3"/>
  <c r="AE36" i="3"/>
  <c r="AD36" i="3"/>
  <c r="AC36" i="3"/>
  <c r="AB36" i="3"/>
  <c r="AA36" i="3"/>
  <c r="Z36" i="3"/>
  <c r="Y36" i="3"/>
  <c r="AG35" i="3"/>
  <c r="AF35" i="3"/>
  <c r="AE35" i="3"/>
  <c r="AD35" i="3"/>
  <c r="AC35" i="3"/>
  <c r="AB35" i="3"/>
  <c r="AA35" i="3"/>
  <c r="Z35" i="3"/>
  <c r="Y35" i="3"/>
  <c r="AG34" i="3"/>
  <c r="AF34" i="3"/>
  <c r="AE34" i="3"/>
  <c r="AD34" i="3"/>
  <c r="AC34" i="3"/>
  <c r="AB34" i="3"/>
  <c r="AA34" i="3"/>
  <c r="Z34" i="3"/>
  <c r="Y34" i="3"/>
  <c r="AG33" i="3"/>
  <c r="AF33" i="3"/>
  <c r="AE33" i="3"/>
  <c r="AD33" i="3"/>
  <c r="AC33" i="3"/>
  <c r="AB33" i="3"/>
  <c r="AA33" i="3"/>
  <c r="Z33" i="3"/>
  <c r="Y33" i="3"/>
  <c r="AG32" i="3"/>
  <c r="AF32" i="3"/>
  <c r="AE32" i="3"/>
  <c r="AD32" i="3"/>
  <c r="AC32" i="3"/>
  <c r="AB32" i="3"/>
  <c r="AA32" i="3"/>
  <c r="Z32" i="3"/>
  <c r="Y32" i="3"/>
  <c r="AG31" i="3"/>
  <c r="AF31" i="3"/>
  <c r="AE31" i="3"/>
  <c r="AD31" i="3"/>
  <c r="AC31" i="3"/>
  <c r="AB31" i="3"/>
  <c r="AA31" i="3"/>
  <c r="Z31" i="3"/>
  <c r="Y31" i="3"/>
  <c r="AG30" i="3"/>
  <c r="AF30" i="3"/>
  <c r="AE30" i="3"/>
  <c r="AD30" i="3"/>
  <c r="AC30" i="3"/>
  <c r="AB30" i="3"/>
  <c r="AA30" i="3"/>
  <c r="Z30" i="3"/>
  <c r="Y30" i="3"/>
  <c r="AG29" i="3"/>
  <c r="AF29" i="3"/>
  <c r="AE29" i="3"/>
  <c r="AD29" i="3"/>
  <c r="AC29" i="3"/>
  <c r="AB29" i="3"/>
  <c r="AA29" i="3"/>
  <c r="Z29" i="3"/>
  <c r="Y29" i="3"/>
  <c r="AG28" i="3"/>
  <c r="AF28" i="3"/>
  <c r="AE28" i="3"/>
  <c r="AD28" i="3"/>
  <c r="AC28" i="3"/>
  <c r="AB28" i="3"/>
  <c r="AA28" i="3"/>
  <c r="Z28" i="3"/>
  <c r="Y28" i="3"/>
  <c r="AG27" i="3"/>
  <c r="AF27" i="3"/>
  <c r="AE27" i="3"/>
  <c r="AD27" i="3"/>
  <c r="AC27" i="3"/>
  <c r="AB27" i="3"/>
  <c r="AA27" i="3"/>
  <c r="Z27" i="3"/>
  <c r="Y27" i="3"/>
  <c r="AG26" i="3"/>
  <c r="AF26" i="3"/>
  <c r="AE26" i="3"/>
  <c r="AD26" i="3"/>
  <c r="AC26" i="3"/>
  <c r="AB26" i="3"/>
  <c r="AA26" i="3"/>
  <c r="Z26" i="3"/>
  <c r="Y26" i="3"/>
  <c r="AG25" i="3"/>
  <c r="AF25" i="3"/>
  <c r="AE25" i="3"/>
  <c r="AD25" i="3"/>
  <c r="AC25" i="3"/>
  <c r="AB25" i="3"/>
  <c r="AA25" i="3"/>
  <c r="Z25" i="3"/>
  <c r="Y25" i="3"/>
  <c r="AG24" i="3"/>
  <c r="AF24" i="3"/>
  <c r="AE24" i="3"/>
  <c r="AD24" i="3"/>
  <c r="AC24" i="3"/>
  <c r="AB24" i="3"/>
  <c r="AA24" i="3"/>
  <c r="Z24" i="3"/>
  <c r="Y24" i="3"/>
  <c r="AG23" i="3"/>
  <c r="AF23" i="3"/>
  <c r="AE23" i="3"/>
  <c r="AD23" i="3"/>
  <c r="AC23" i="3"/>
  <c r="AB23" i="3"/>
  <c r="AA23" i="3"/>
  <c r="Z23" i="3"/>
  <c r="Y23" i="3"/>
  <c r="AG22" i="3"/>
  <c r="AF22" i="3"/>
  <c r="AE22" i="3"/>
  <c r="AD22" i="3"/>
  <c r="AC22" i="3"/>
  <c r="AB22" i="3"/>
  <c r="AA22" i="3"/>
  <c r="Z22" i="3"/>
  <c r="Y22" i="3"/>
  <c r="AG21" i="3"/>
  <c r="AF21" i="3"/>
  <c r="AE21" i="3"/>
  <c r="AD21" i="3"/>
  <c r="AC21" i="3"/>
  <c r="AB21" i="3"/>
  <c r="AA21" i="3"/>
  <c r="Z21" i="3"/>
  <c r="Y21" i="3"/>
  <c r="AG20" i="3"/>
  <c r="AF20" i="3"/>
  <c r="AE20" i="3"/>
  <c r="AD20" i="3"/>
  <c r="AC20" i="3"/>
  <c r="AB20" i="3"/>
  <c r="AA20" i="3"/>
  <c r="Z20" i="3"/>
  <c r="Y20" i="3"/>
  <c r="AG19" i="3"/>
  <c r="AF19" i="3"/>
  <c r="AE19" i="3"/>
  <c r="AD19" i="3"/>
  <c r="AC19" i="3"/>
  <c r="AB19" i="3"/>
  <c r="AA19" i="3"/>
  <c r="Z19" i="3"/>
  <c r="Y19" i="3"/>
  <c r="AG18" i="3"/>
  <c r="AF18" i="3"/>
  <c r="AE18" i="3"/>
  <c r="AD18" i="3"/>
  <c r="AC18" i="3"/>
  <c r="AB18" i="3"/>
  <c r="AA18" i="3"/>
  <c r="Z18" i="3"/>
  <c r="Y18" i="3"/>
  <c r="AG17" i="3"/>
  <c r="AF17" i="3"/>
  <c r="AE17" i="3"/>
  <c r="AD17" i="3"/>
  <c r="AC17" i="3"/>
  <c r="AB17" i="3"/>
  <c r="AA17" i="3"/>
  <c r="Z17" i="3"/>
  <c r="Y17" i="3"/>
  <c r="AG16" i="3"/>
  <c r="AF16" i="3"/>
  <c r="AE16" i="3"/>
  <c r="AD16" i="3"/>
  <c r="AC16" i="3"/>
  <c r="AB16" i="3"/>
  <c r="AA16" i="3"/>
  <c r="Z16" i="3"/>
  <c r="Y16" i="3"/>
  <c r="AG15" i="3"/>
  <c r="AF15" i="3"/>
  <c r="AE15" i="3"/>
  <c r="AD15" i="3"/>
  <c r="AC15" i="3"/>
  <c r="AB15" i="3"/>
  <c r="AA15" i="3"/>
  <c r="Z15" i="3"/>
  <c r="Y15" i="3"/>
  <c r="AG14" i="3"/>
  <c r="AF14" i="3"/>
  <c r="AE14" i="3"/>
  <c r="AD14" i="3"/>
  <c r="AC14" i="3"/>
  <c r="AB14" i="3"/>
  <c r="AA14" i="3"/>
  <c r="Z14" i="3"/>
  <c r="Y14" i="3"/>
  <c r="AG13" i="3"/>
  <c r="AF13" i="3"/>
  <c r="AE13" i="3"/>
  <c r="AD13" i="3"/>
  <c r="AC13" i="3"/>
  <c r="AB13" i="3"/>
  <c r="AA13" i="3"/>
  <c r="Z13" i="3"/>
  <c r="Y13" i="3"/>
  <c r="AG12" i="3"/>
  <c r="AF12" i="3"/>
  <c r="AE12" i="3"/>
  <c r="AD12" i="3"/>
  <c r="AC12" i="3"/>
  <c r="AB12" i="3"/>
  <c r="AA12" i="3"/>
  <c r="Z12" i="3"/>
  <c r="Y12" i="3"/>
  <c r="AG11" i="3"/>
  <c r="AF11" i="3"/>
  <c r="AE11" i="3"/>
  <c r="AD11" i="3"/>
  <c r="AC11" i="3"/>
  <c r="AB11" i="3"/>
  <c r="AA11" i="3"/>
  <c r="Z11" i="3"/>
  <c r="Y11" i="3"/>
  <c r="AG10" i="3"/>
  <c r="AF10" i="3"/>
  <c r="AE10" i="3"/>
  <c r="AD10" i="3"/>
  <c r="AC10" i="3"/>
  <c r="AB10" i="3"/>
  <c r="AA10" i="3"/>
  <c r="Z10" i="3"/>
  <c r="Y10" i="3"/>
  <c r="AG9" i="3"/>
  <c r="AF9" i="3"/>
  <c r="AE9" i="3"/>
  <c r="AD9" i="3"/>
  <c r="AC9" i="3"/>
  <c r="AB9" i="3"/>
  <c r="AA9" i="3"/>
  <c r="Z9" i="3"/>
  <c r="Y9" i="3"/>
  <c r="AG8" i="3"/>
  <c r="AF8" i="3"/>
  <c r="AE8" i="3"/>
  <c r="AD8" i="3"/>
  <c r="AC8" i="3"/>
  <c r="AB8" i="3"/>
  <c r="AA8" i="3"/>
  <c r="Z8" i="3"/>
  <c r="Y8" i="3"/>
  <c r="AG7" i="3"/>
  <c r="AF7" i="3"/>
  <c r="AE7" i="3"/>
  <c r="AD7" i="3"/>
  <c r="AC7" i="3"/>
  <c r="AB7" i="3"/>
  <c r="AA7" i="3"/>
  <c r="Z7" i="3"/>
  <c r="Y7" i="3"/>
  <c r="AG6" i="3"/>
  <c r="AF6" i="3"/>
  <c r="AE6" i="3"/>
  <c r="AD6" i="3"/>
  <c r="AC6" i="3"/>
  <c r="AB6" i="3"/>
  <c r="AA6" i="3"/>
  <c r="Z6" i="3"/>
  <c r="Y6" i="3"/>
  <c r="AG5" i="3"/>
  <c r="AF5" i="3"/>
  <c r="AE5" i="3"/>
  <c r="AD5" i="3"/>
  <c r="AC5" i="3"/>
  <c r="AB5" i="3"/>
  <c r="AA5" i="3"/>
  <c r="Z5" i="3"/>
  <c r="Y5" i="3"/>
  <c r="AG4" i="3"/>
  <c r="AF4" i="3"/>
  <c r="AE4" i="3"/>
  <c r="AD4" i="3"/>
  <c r="AC4" i="3"/>
  <c r="AB4" i="3"/>
  <c r="AA4" i="3"/>
  <c r="Z4" i="3"/>
  <c r="Y4" i="3"/>
  <c r="AG3" i="3"/>
  <c r="AF3" i="3"/>
  <c r="AE3" i="3"/>
  <c r="AD3" i="3"/>
  <c r="AC3" i="3"/>
  <c r="AB3" i="3"/>
  <c r="AA3" i="3"/>
  <c r="Z3" i="3"/>
  <c r="Y3" i="3"/>
  <c r="AB170" i="1"/>
  <c r="AB171" i="1"/>
  <c r="AB172" i="1"/>
  <c r="AB173" i="1"/>
  <c r="AB174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5" i="1"/>
  <c r="AB176" i="1"/>
  <c r="AB177" i="1"/>
  <c r="AB178" i="1"/>
  <c r="AB179" i="1"/>
  <c r="AB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3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</calcChain>
</file>

<file path=xl/sharedStrings.xml><?xml version="1.0" encoding="utf-8"?>
<sst xmlns="http://schemas.openxmlformats.org/spreadsheetml/2006/main" count="1868" uniqueCount="160">
  <si>
    <t>0% - 20%</t>
  </si>
  <si>
    <t>21% - 40%</t>
  </si>
  <si>
    <t>41% - 60%</t>
  </si>
  <si>
    <t>61% - 80%</t>
  </si>
  <si>
    <t>Aster</t>
  </si>
  <si>
    <t>Bleeding Heart</t>
  </si>
  <si>
    <t>Butterfly Weed</t>
  </si>
  <si>
    <t>Agave</t>
  </si>
  <si>
    <t>Cactus</t>
  </si>
  <si>
    <t>Catmint</t>
  </si>
  <si>
    <t>Christmas Fern</t>
  </si>
  <si>
    <t>Begonia Coneflower</t>
  </si>
  <si>
    <t>Daffodil</t>
  </si>
  <si>
    <t>Dalia</t>
  </si>
  <si>
    <t>Alpine Current</t>
  </si>
  <si>
    <t>Bald Cypress</t>
  </si>
  <si>
    <t>Barberry</t>
  </si>
  <si>
    <t>Birch</t>
  </si>
  <si>
    <t>Carb Apple</t>
  </si>
  <si>
    <t>Elderberry</t>
  </si>
  <si>
    <t>Elm</t>
  </si>
  <si>
    <t>Hydragea</t>
  </si>
  <si>
    <t>Willow</t>
  </si>
  <si>
    <t>Apple</t>
  </si>
  <si>
    <t>Grapes</t>
  </si>
  <si>
    <t>Fig</t>
  </si>
  <si>
    <t>Pear</t>
  </si>
  <si>
    <t>Peach</t>
  </si>
  <si>
    <t>Raspberry</t>
  </si>
  <si>
    <t xml:space="preserve">Strawberry </t>
  </si>
  <si>
    <t>Blackberry</t>
  </si>
  <si>
    <t>Cranberry</t>
  </si>
  <si>
    <t>Big Blue Steam</t>
  </si>
  <si>
    <t>Coneflower</t>
  </si>
  <si>
    <t>Daylilly</t>
  </si>
  <si>
    <t>Gaillardia</t>
  </si>
  <si>
    <t>Hearths/Heathers</t>
  </si>
  <si>
    <t>Hosta</t>
  </si>
  <si>
    <t>Hyssop</t>
  </si>
  <si>
    <t>Iris</t>
  </si>
  <si>
    <t>Lavandar</t>
  </si>
  <si>
    <t>Lemon Balm</t>
  </si>
  <si>
    <t>Lily</t>
  </si>
  <si>
    <t>Marigold</t>
  </si>
  <si>
    <t>Monarda</t>
  </si>
  <si>
    <t>Ornamental Grasses</t>
  </si>
  <si>
    <t>Penstemon</t>
  </si>
  <si>
    <t>Peony</t>
  </si>
  <si>
    <t>Petunia</t>
  </si>
  <si>
    <t>Poppy (general)</t>
  </si>
  <si>
    <t>Purple Coneflower</t>
  </si>
  <si>
    <t>Sedges</t>
  </si>
  <si>
    <t>Sedum</t>
  </si>
  <si>
    <t>Pansy</t>
  </si>
  <si>
    <t>Tulip</t>
  </si>
  <si>
    <t>Violet</t>
  </si>
  <si>
    <t>Yarrow</t>
  </si>
  <si>
    <t>Yucca</t>
  </si>
  <si>
    <t>Zinnia</t>
  </si>
  <si>
    <t>Astilbe</t>
  </si>
  <si>
    <t>Hellebores</t>
  </si>
  <si>
    <t>Ironweed</t>
  </si>
  <si>
    <t>Jack In Pulpits</t>
  </si>
  <si>
    <t>Joe-Pye Weed</t>
  </si>
  <si>
    <t>Lobellia</t>
  </si>
  <si>
    <t>Lupine</t>
  </si>
  <si>
    <t>May Apple</t>
  </si>
  <si>
    <t>Meadow Rue</t>
  </si>
  <si>
    <t>Queen of the Prairie</t>
  </si>
  <si>
    <t>Red Milkweed</t>
  </si>
  <si>
    <t>Marsh Marigold</t>
  </si>
  <si>
    <t>Blueberry</t>
  </si>
  <si>
    <t>Potentilla</t>
  </si>
  <si>
    <t>Rugosa rose</t>
  </si>
  <si>
    <t>Dawn Redwood</t>
  </si>
  <si>
    <t>Dogwood</t>
  </si>
  <si>
    <t>Swamp White Oak</t>
  </si>
  <si>
    <t>Tamarac/Larch</t>
  </si>
  <si>
    <t>American Filbert</t>
  </si>
  <si>
    <t>American Holly</t>
  </si>
  <si>
    <t>Amur Privet</t>
  </si>
  <si>
    <t>Arbovitae</t>
  </si>
  <si>
    <t>Black Tupelo</t>
  </si>
  <si>
    <t>Chinese Juniper</t>
  </si>
  <si>
    <t>Clematis</t>
  </si>
  <si>
    <t>Common Boxwood</t>
  </si>
  <si>
    <t>Common Lilac</t>
  </si>
  <si>
    <t>Crape Myrtle</t>
  </si>
  <si>
    <t>Eastern Red Cedar</t>
  </si>
  <si>
    <t>Frazier Fir</t>
  </si>
  <si>
    <t>Gardenia</t>
  </si>
  <si>
    <t>Ginkgo</t>
  </si>
  <si>
    <t>Hawthorn</t>
  </si>
  <si>
    <t>Holly</t>
  </si>
  <si>
    <t>Honey Locust</t>
  </si>
  <si>
    <t>Horse Chestnut</t>
  </si>
  <si>
    <t>Juniper</t>
  </si>
  <si>
    <t>Lilac</t>
  </si>
  <si>
    <t>Maple (general)</t>
  </si>
  <si>
    <t>Mockorage</t>
  </si>
  <si>
    <t>New Jersey Tea</t>
  </si>
  <si>
    <t>Oaks (general)</t>
  </si>
  <si>
    <t>Ohio Buckeye</t>
  </si>
  <si>
    <t>Roses</t>
  </si>
  <si>
    <t>Saucer magnolia</t>
  </si>
  <si>
    <t>Serviceberry</t>
  </si>
  <si>
    <t>Silver Maple</t>
  </si>
  <si>
    <t>Spirea</t>
  </si>
  <si>
    <t>Spruce</t>
  </si>
  <si>
    <t>Sugar Maple</t>
  </si>
  <si>
    <t>Sweetshrub</t>
  </si>
  <si>
    <t>White Fir</t>
  </si>
  <si>
    <t>Azealeas</t>
  </si>
  <si>
    <t>Common Elderberry</t>
  </si>
  <si>
    <t>Red Cedar</t>
  </si>
  <si>
    <t>Red Twing Dogwood</t>
  </si>
  <si>
    <t>Rhodendron</t>
  </si>
  <si>
    <t>White Pine</t>
  </si>
  <si>
    <t>Fruits</t>
  </si>
  <si>
    <t>Trees &amp; Shrubs</t>
  </si>
  <si>
    <t>Flowers</t>
  </si>
  <si>
    <t>Strawberry</t>
  </si>
  <si>
    <t>Cod_P</t>
  </si>
  <si>
    <t>Nume</t>
  </si>
  <si>
    <t>Cod_T</t>
  </si>
  <si>
    <t>45°C</t>
  </si>
  <si>
    <t>54°C</t>
  </si>
  <si>
    <t>Unele specii de bacterii incep sa moara.</t>
  </si>
  <si>
    <t>38°C</t>
  </si>
  <si>
    <t>44.9°C</t>
  </si>
  <si>
    <t>15% din umiditate este folosita pentru crestere, 85% se pierde prin evaporare si transpiratie.</t>
  </si>
  <si>
    <t>32°C</t>
  </si>
  <si>
    <t>37.9°C</t>
  </si>
  <si>
    <t>Cresterea plantelor incetineste.</t>
  </si>
  <si>
    <t>18°C</t>
  </si>
  <si>
    <t>31.9°C</t>
  </si>
  <si>
    <t>Interval ideal pentru nitrificare, cresterea plantelor si plantare</t>
  </si>
  <si>
    <t>Interval ideal pentru nitrificare, cresterea plantelor si plantare.</t>
  </si>
  <si>
    <t>Cod_R</t>
  </si>
  <si>
    <t>Temp_min</t>
  </si>
  <si>
    <t>Temp_max</t>
  </si>
  <si>
    <t>Umiditate_min</t>
  </si>
  <si>
    <t>Umiditate_max</t>
  </si>
  <si>
    <t>Descrieire</t>
  </si>
  <si>
    <t>Flori</t>
  </si>
  <si>
    <t>Copaci_si_Arbusti</t>
  </si>
  <si>
    <t>Fructe</t>
  </si>
  <si>
    <t>sol extrem de uscat</t>
  </si>
  <si>
    <t>uscat / bine uscat</t>
  </si>
  <si>
    <t>hidratat NORMAL</t>
  </si>
  <si>
    <t>ud</t>
  </si>
  <si>
    <t>819 – 1024</t>
  </si>
  <si>
    <t>614 – 818</t>
  </si>
  <si>
    <t>410 – 613</t>
  </si>
  <si>
    <t>205 – 409</t>
  </si>
  <si>
    <t>81% – 100%</t>
  </si>
  <si>
    <t xml:space="preserve">foarte ud </t>
  </si>
  <si>
    <t>0 – 204</t>
  </si>
  <si>
    <t>Nivel_umid_min</t>
  </si>
  <si>
    <t>Nivel_umid_max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</si>
</sst>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_ ;\-#,##0\ "/>
  </numFmts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3" fontId="3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Border="1"/>
    <xf numFmtId="0" fontId="1" fillId="0" borderId="0" xfId="1" applyBorder="1"/>
    <xf numFmtId="0" fontId="2" fillId="0" borderId="0" xfId="0" applyFon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1" xfId="0" applyBorder="1"/>
    <xf numFmtId="0" fontId="0" fillId="2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2" fillId="6" borderId="3" xfId="0" applyFont="1" applyFill="1" applyBorder="1"/>
    <xf numFmtId="0" fontId="2" fillId="6" borderId="4" xfId="0" applyFont="1" applyFill="1" applyBorder="1"/>
    <xf numFmtId="0" fontId="2" fillId="6" borderId="5" xfId="0" applyFont="1" applyFill="1" applyBorder="1"/>
    <xf numFmtId="0" fontId="2" fillId="7" borderId="3" xfId="0" applyFont="1" applyFill="1" applyBorder="1"/>
    <xf numFmtId="0" fontId="2" fillId="7" borderId="4" xfId="0" applyFont="1" applyFill="1" applyBorder="1"/>
    <xf numFmtId="0" fontId="2" fillId="7" borderId="5" xfId="0" applyFont="1" applyFill="1" applyBorder="1"/>
    <xf numFmtId="0" fontId="2" fillId="8" borderId="3" xfId="0" applyFont="1" applyFill="1" applyBorder="1"/>
    <xf numFmtId="0" fontId="2" fillId="8" borderId="4" xfId="0" applyFont="1" applyFill="1" applyBorder="1"/>
    <xf numFmtId="0" fontId="2" fillId="8" borderId="5" xfId="0" applyFont="1" applyFill="1" applyBorder="1"/>
    <xf numFmtId="9" fontId="0" fillId="0" borderId="0" xfId="0" applyNumberFormat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3" fontId="0" fillId="0" borderId="0" xfId="2" applyFont="1"/>
    <xf numFmtId="43" fontId="2" fillId="0" borderId="0" xfId="2" applyFont="1"/>
    <xf numFmtId="164" fontId="2" fillId="0" borderId="0" xfId="2" applyNumberFormat="1" applyFont="1"/>
    <xf numFmtId="164" fontId="0" fillId="0" borderId="0" xfId="2" applyNumberFormat="1" applyFont="1"/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6</xdr:col>
      <xdr:colOff>234950</xdr:colOff>
      <xdr:row>63</xdr:row>
      <xdr:rowOff>19049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106640-17B6-3661-00C8-2B3A6DF0C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769600"/>
          <a:ext cx="5232400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6</xdr:col>
      <xdr:colOff>234950</xdr:colOff>
      <xdr:row>63</xdr:row>
      <xdr:rowOff>19049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1D0911-129F-4122-B098-97CFAD6E4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769600"/>
          <a:ext cx="5232400" cy="11239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79"/>
  <sheetViews>
    <sheetView topLeftCell="V165" zoomScale="101" workbookViewId="0">
      <selection activeCell="Y187" sqref="Y187"/>
    </sheetView>
  </sheetViews>
  <sheetFormatPr defaultRowHeight="14.5" x14ac:dyDescent="0.35"/>
  <cols>
    <col min="1" max="1" width="10.90625" bestFit="1" customWidth="1"/>
    <col min="2" max="2" width="17.7265625" bestFit="1" customWidth="1"/>
    <col min="3" max="3" width="18" bestFit="1" customWidth="1"/>
    <col min="4" max="4" width="16.1796875" bestFit="1" customWidth="1"/>
    <col min="6" max="6" width="10.90625" bestFit="1" customWidth="1"/>
    <col min="7" max="7" width="16.81640625" bestFit="1" customWidth="1"/>
    <col min="8" max="8" width="18" bestFit="1" customWidth="1"/>
    <col min="9" max="9" width="16.1796875" bestFit="1" customWidth="1"/>
    <col min="12" max="13" width="10.453125" bestFit="1" customWidth="1"/>
    <col min="14" max="14" width="9.26953125" bestFit="1" customWidth="1"/>
    <col min="20" max="20" width="18.1796875" bestFit="1" customWidth="1"/>
    <col min="26" max="26" width="9.7265625" bestFit="1" customWidth="1"/>
    <col min="27" max="27" width="10.08984375" bestFit="1" customWidth="1"/>
    <col min="28" max="28" width="13.26953125" bestFit="1" customWidth="1"/>
    <col min="29" max="29" width="13.6328125" customWidth="1"/>
    <col min="30" max="30" width="14.453125" style="28" bestFit="1" customWidth="1"/>
    <col min="31" max="31" width="14.81640625" style="28" bestFit="1" customWidth="1"/>
    <col min="33" max="33" width="79.7265625" bestFit="1" customWidth="1"/>
    <col min="36" max="36" width="16" bestFit="1" customWidth="1"/>
    <col min="38" max="38" width="14.453125" style="25" bestFit="1" customWidth="1"/>
    <col min="39" max="39" width="14.81640625" style="25" bestFit="1" customWidth="1"/>
    <col min="45" max="45" width="8.453125" bestFit="1" customWidth="1"/>
    <col min="48" max="48" width="10.08984375" bestFit="1" customWidth="1"/>
    <col min="56" max="56" width="3.81640625" bestFit="1" customWidth="1"/>
    <col min="57" max="57" width="78.81640625" bestFit="1" customWidth="1"/>
  </cols>
  <sheetData>
    <row r="1" spans="1:57" s="3" customFormat="1" ht="36" x14ac:dyDescent="0.8">
      <c r="A1" s="13"/>
      <c r="B1" s="14" t="s">
        <v>120</v>
      </c>
      <c r="C1" s="14"/>
      <c r="D1" s="15"/>
      <c r="F1" s="16"/>
      <c r="G1" s="17" t="s">
        <v>119</v>
      </c>
      <c r="H1" s="17"/>
      <c r="I1" s="18"/>
      <c r="K1" s="19"/>
      <c r="L1" s="20" t="s">
        <v>118</v>
      </c>
      <c r="M1" s="20"/>
      <c r="N1" s="21"/>
      <c r="AD1" s="27"/>
      <c r="AE1" s="27"/>
      <c r="AL1" s="26"/>
      <c r="AM1" s="26"/>
    </row>
    <row r="2" spans="1:57" x14ac:dyDescent="0.35">
      <c r="A2" s="9" t="s">
        <v>0</v>
      </c>
      <c r="B2" s="10" t="s">
        <v>1</v>
      </c>
      <c r="C2" s="11" t="s">
        <v>2</v>
      </c>
      <c r="D2" s="12" t="s">
        <v>3</v>
      </c>
      <c r="F2" s="4" t="s">
        <v>0</v>
      </c>
      <c r="G2" s="5" t="s">
        <v>1</v>
      </c>
      <c r="H2" s="6" t="s">
        <v>2</v>
      </c>
      <c r="I2" s="7" t="s">
        <v>3</v>
      </c>
      <c r="K2" s="4" t="s">
        <v>0</v>
      </c>
      <c r="L2" s="5" t="s">
        <v>1</v>
      </c>
      <c r="M2" s="6" t="s">
        <v>2</v>
      </c>
      <c r="N2" s="7" t="s">
        <v>3</v>
      </c>
      <c r="S2" t="s">
        <v>122</v>
      </c>
      <c r="T2" t="s">
        <v>123</v>
      </c>
      <c r="U2" t="s">
        <v>124</v>
      </c>
      <c r="Y2" t="s">
        <v>138</v>
      </c>
      <c r="Z2" t="s">
        <v>139</v>
      </c>
      <c r="AA2" t="s">
        <v>140</v>
      </c>
      <c r="AB2" t="s">
        <v>141</v>
      </c>
      <c r="AC2" t="s">
        <v>142</v>
      </c>
      <c r="AD2" s="28" t="s">
        <v>158</v>
      </c>
      <c r="AE2" s="28" t="s">
        <v>159</v>
      </c>
      <c r="AF2" t="s">
        <v>122</v>
      </c>
      <c r="AG2" t="s">
        <v>143</v>
      </c>
      <c r="AI2" t="s">
        <v>124</v>
      </c>
      <c r="AJ2" t="s">
        <v>123</v>
      </c>
      <c r="AL2" s="25" t="s">
        <v>158</v>
      </c>
      <c r="AM2" s="25" t="s">
        <v>159</v>
      </c>
      <c r="AS2" s="9" t="s">
        <v>0</v>
      </c>
      <c r="AT2" t="s">
        <v>147</v>
      </c>
      <c r="AV2" t="s">
        <v>151</v>
      </c>
    </row>
    <row r="3" spans="1:57" x14ac:dyDescent="0.35">
      <c r="A3" s="8" t="s">
        <v>7</v>
      </c>
      <c r="B3" s="8" t="s">
        <v>6</v>
      </c>
      <c r="C3" s="8" t="s">
        <v>4</v>
      </c>
      <c r="D3" s="8" t="s">
        <v>15</v>
      </c>
      <c r="F3" s="8" t="s">
        <v>72</v>
      </c>
      <c r="G3" s="8" t="s">
        <v>112</v>
      </c>
      <c r="H3" s="8" t="s">
        <v>78</v>
      </c>
      <c r="I3" s="8" t="s">
        <v>15</v>
      </c>
      <c r="K3" s="8"/>
      <c r="L3" s="8" t="s">
        <v>23</v>
      </c>
      <c r="M3" s="8" t="s">
        <v>23</v>
      </c>
      <c r="N3" s="8" t="s">
        <v>31</v>
      </c>
      <c r="S3">
        <v>1</v>
      </c>
      <c r="T3" t="s">
        <v>7</v>
      </c>
      <c r="U3">
        <v>1</v>
      </c>
      <c r="Y3" t="str">
        <f xml:space="preserve"> "("&amp;"'"&amp;AX3 &amp;"'"&amp;","</f>
        <v>('11',</v>
      </c>
      <c r="Z3" t="str">
        <f xml:space="preserve"> "'"&amp;AY3&amp;"'"&amp;","</f>
        <v>'45°C',</v>
      </c>
      <c r="AA3" t="str">
        <f xml:space="preserve"> "'"&amp;AZ3&amp;"'"&amp;","</f>
        <v>'54°C',</v>
      </c>
      <c r="AB3" s="22" t="str">
        <f xml:space="preserve"> "'"&amp;BA3*100&amp;"%"&amp;"'"&amp;","</f>
        <v>'0%',</v>
      </c>
      <c r="AC3" s="22" t="str">
        <f xml:space="preserve"> "'"&amp;BB3*100&amp;"%"&amp;"'"&amp;","</f>
        <v>'20%',</v>
      </c>
      <c r="AD3" s="28" t="str">
        <f xml:space="preserve"> "'"&amp;AL3 *100&amp;"'"&amp;","</f>
        <v>'819',</v>
      </c>
      <c r="AE3" s="28" t="str">
        <f xml:space="preserve"> "'"&amp;AM3 *100&amp;"'"&amp;","</f>
        <v>'1024',</v>
      </c>
      <c r="AF3" t="str">
        <f xml:space="preserve"> "'"&amp;BD3&amp;"'"&amp;","</f>
        <v>'1',</v>
      </c>
      <c r="AG3" t="str">
        <f xml:space="preserve"> "'"&amp;BE3&amp;"'"&amp;")"&amp;","</f>
        <v>'Unele specii de bacterii incep sa moara.'),</v>
      </c>
      <c r="AI3">
        <v>1</v>
      </c>
      <c r="AJ3" t="s">
        <v>144</v>
      </c>
      <c r="AL3" s="25">
        <v>8.19</v>
      </c>
      <c r="AM3" s="25">
        <v>10.24</v>
      </c>
      <c r="AS3" s="10" t="s">
        <v>1</v>
      </c>
      <c r="AT3" t="s">
        <v>148</v>
      </c>
      <c r="AV3" t="s">
        <v>152</v>
      </c>
      <c r="AX3">
        <v>11</v>
      </c>
      <c r="AY3" t="s">
        <v>125</v>
      </c>
      <c r="AZ3" t="s">
        <v>126</v>
      </c>
      <c r="BA3" s="22">
        <v>0</v>
      </c>
      <c r="BB3" s="22">
        <v>0.2</v>
      </c>
      <c r="BD3">
        <v>1</v>
      </c>
      <c r="BE3" t="s">
        <v>127</v>
      </c>
    </row>
    <row r="4" spans="1:57" x14ac:dyDescent="0.35">
      <c r="A4" s="8" t="s">
        <v>8</v>
      </c>
      <c r="B4" s="8" t="s">
        <v>8</v>
      </c>
      <c r="C4" s="8" t="s">
        <v>5</v>
      </c>
      <c r="D4" s="8" t="s">
        <v>19</v>
      </c>
      <c r="F4" s="8" t="s">
        <v>73</v>
      </c>
      <c r="G4" s="8" t="s">
        <v>14</v>
      </c>
      <c r="H4" s="8" t="s">
        <v>112</v>
      </c>
      <c r="I4" s="8" t="s">
        <v>74</v>
      </c>
      <c r="K4" s="8"/>
      <c r="L4" s="8" t="s">
        <v>24</v>
      </c>
      <c r="M4" s="8" t="s">
        <v>24</v>
      </c>
      <c r="N4" s="8"/>
      <c r="S4">
        <v>10</v>
      </c>
      <c r="T4" t="s">
        <v>11</v>
      </c>
      <c r="U4">
        <v>1</v>
      </c>
      <c r="Y4" t="str">
        <f t="shared" ref="Y4:Y67" si="0" xml:space="preserve"> "("&amp;"'"&amp;AX4 &amp;"'"&amp;","</f>
        <v>('12',</v>
      </c>
      <c r="Z4" t="str">
        <f t="shared" ref="Z4:Z67" si="1" xml:space="preserve"> "'"&amp;AY4&amp;"'"&amp;","</f>
        <v>'45°C',</v>
      </c>
      <c r="AA4" t="str">
        <f t="shared" ref="AA4:AA67" si="2" xml:space="preserve"> "'"&amp;AZ4&amp;"'"&amp;","</f>
        <v>'54°C',</v>
      </c>
      <c r="AB4" s="22" t="str">
        <f t="shared" ref="AB4:AB67" si="3" xml:space="preserve"> "'"&amp;BA4*100&amp;"%"&amp;"'"&amp;","</f>
        <v>'0%',</v>
      </c>
      <c r="AC4" s="22" t="str">
        <f t="shared" ref="AC4:AC67" si="4" xml:space="preserve"> "'"&amp;BB4*100&amp;"%"&amp;"'"&amp;","</f>
        <v>'20%',</v>
      </c>
      <c r="AD4" s="28" t="str">
        <f t="shared" ref="AD4:AD67" si="5" xml:space="preserve"> "'"&amp;AL4 *100&amp;"'"&amp;","</f>
        <v>'614',</v>
      </c>
      <c r="AE4" s="28" t="str">
        <f t="shared" ref="AE4:AE67" si="6" xml:space="preserve"> "'"&amp;AM4 *100&amp;"'"&amp;","</f>
        <v>'818',</v>
      </c>
      <c r="AF4" t="str">
        <f t="shared" ref="AF4:AF67" si="7" xml:space="preserve"> "'"&amp;BD4&amp;"'"&amp;","</f>
        <v>'2',</v>
      </c>
      <c r="AG4" t="str">
        <f t="shared" ref="AG4:AG67" si="8" xml:space="preserve"> "'"&amp;BE4&amp;"'"&amp;")"&amp;","</f>
        <v>'Unele specii de bacterii incep sa moara.'),</v>
      </c>
      <c r="AI4">
        <v>2</v>
      </c>
      <c r="AJ4" t="s">
        <v>145</v>
      </c>
      <c r="AL4" s="25">
        <v>6.14</v>
      </c>
      <c r="AM4" s="25">
        <v>8.18</v>
      </c>
      <c r="AS4" s="11" t="s">
        <v>2</v>
      </c>
      <c r="AT4" t="s">
        <v>149</v>
      </c>
      <c r="AV4" t="s">
        <v>153</v>
      </c>
      <c r="AX4">
        <v>12</v>
      </c>
      <c r="AY4" t="s">
        <v>125</v>
      </c>
      <c r="AZ4" t="s">
        <v>126</v>
      </c>
      <c r="BA4" s="22">
        <v>0</v>
      </c>
      <c r="BB4" s="22">
        <v>0.2</v>
      </c>
      <c r="BD4">
        <v>2</v>
      </c>
      <c r="BE4" t="s">
        <v>127</v>
      </c>
    </row>
    <row r="5" spans="1:57" x14ac:dyDescent="0.35">
      <c r="A5" s="8" t="s">
        <v>52</v>
      </c>
      <c r="B5" s="8" t="s">
        <v>9</v>
      </c>
      <c r="C5" s="8" t="s">
        <v>12</v>
      </c>
      <c r="D5" s="8" t="s">
        <v>22</v>
      </c>
      <c r="F5" s="8"/>
      <c r="G5" s="8" t="s">
        <v>78</v>
      </c>
      <c r="H5" s="8" t="s">
        <v>15</v>
      </c>
      <c r="I5" s="8" t="s">
        <v>75</v>
      </c>
      <c r="K5" s="8"/>
      <c r="L5" s="8" t="s">
        <v>25</v>
      </c>
      <c r="M5" s="8" t="s">
        <v>25</v>
      </c>
      <c r="N5" s="8"/>
      <c r="S5">
        <v>100</v>
      </c>
      <c r="T5" t="s">
        <v>85</v>
      </c>
      <c r="U5">
        <v>2</v>
      </c>
      <c r="Y5" t="str">
        <f t="shared" si="0"/>
        <v>('13',</v>
      </c>
      <c r="Z5" t="str">
        <f t="shared" si="1"/>
        <v>'45°C',</v>
      </c>
      <c r="AA5" t="str">
        <f t="shared" si="2"/>
        <v>'54°C',</v>
      </c>
      <c r="AB5" s="22" t="str">
        <f t="shared" si="3"/>
        <v>'0%',</v>
      </c>
      <c r="AC5" s="22" t="str">
        <f t="shared" si="4"/>
        <v>'20%',</v>
      </c>
      <c r="AD5" s="28" t="str">
        <f t="shared" si="5"/>
        <v>'614',</v>
      </c>
      <c r="AE5" s="28" t="str">
        <f t="shared" si="6"/>
        <v>'818',</v>
      </c>
      <c r="AF5" t="str">
        <f t="shared" si="7"/>
        <v>'3',</v>
      </c>
      <c r="AG5" t="str">
        <f t="shared" si="8"/>
        <v>'Unele specii de bacterii incep sa moara.'),</v>
      </c>
      <c r="AI5">
        <v>3</v>
      </c>
      <c r="AJ5" t="s">
        <v>146</v>
      </c>
      <c r="AL5" s="25">
        <v>6.14</v>
      </c>
      <c r="AM5" s="25">
        <v>8.18</v>
      </c>
      <c r="AS5" s="12" t="s">
        <v>3</v>
      </c>
      <c r="AT5" t="s">
        <v>150</v>
      </c>
      <c r="AV5" t="s">
        <v>154</v>
      </c>
      <c r="AX5">
        <v>13</v>
      </c>
      <c r="AY5" t="s">
        <v>125</v>
      </c>
      <c r="AZ5" t="s">
        <v>126</v>
      </c>
      <c r="BA5" s="22">
        <v>0</v>
      </c>
      <c r="BB5" s="22">
        <v>0.2</v>
      </c>
      <c r="BD5">
        <v>3</v>
      </c>
      <c r="BE5" t="s">
        <v>127</v>
      </c>
    </row>
    <row r="6" spans="1:57" x14ac:dyDescent="0.35">
      <c r="A6" s="8" t="s">
        <v>56</v>
      </c>
      <c r="B6" s="8" t="s">
        <v>10</v>
      </c>
      <c r="C6" s="8" t="s">
        <v>13</v>
      </c>
      <c r="D6" s="8" t="s">
        <v>64</v>
      </c>
      <c r="F6" s="8"/>
      <c r="G6" s="8" t="s">
        <v>79</v>
      </c>
      <c r="H6" s="8" t="s">
        <v>17</v>
      </c>
      <c r="I6" s="8" t="s">
        <v>19</v>
      </c>
      <c r="K6" s="8"/>
      <c r="L6" s="8" t="s">
        <v>26</v>
      </c>
      <c r="M6" s="8" t="s">
        <v>26</v>
      </c>
      <c r="N6" s="8"/>
      <c r="S6">
        <v>101</v>
      </c>
      <c r="T6" t="s">
        <v>86</v>
      </c>
      <c r="U6">
        <v>2</v>
      </c>
      <c r="Y6" t="str">
        <f t="shared" si="0"/>
        <v>('14',</v>
      </c>
      <c r="Z6" t="str">
        <f t="shared" si="1"/>
        <v>'45°C',</v>
      </c>
      <c r="AA6" t="str">
        <f t="shared" si="2"/>
        <v>'54°C',</v>
      </c>
      <c r="AB6" s="22" t="str">
        <f t="shared" si="3"/>
        <v>'0%',</v>
      </c>
      <c r="AC6" s="22" t="str">
        <f t="shared" si="4"/>
        <v>'20%',</v>
      </c>
      <c r="AD6" s="28" t="str">
        <f t="shared" si="5"/>
        <v>'614',</v>
      </c>
      <c r="AE6" s="28" t="str">
        <f t="shared" si="6"/>
        <v>'818',</v>
      </c>
      <c r="AF6" t="str">
        <f t="shared" si="7"/>
        <v>'4',</v>
      </c>
      <c r="AG6" t="str">
        <f t="shared" si="8"/>
        <v>'Unele specii de bacterii incep sa moara.'),</v>
      </c>
      <c r="AL6" s="25">
        <v>6.14</v>
      </c>
      <c r="AM6" s="25">
        <v>8.18</v>
      </c>
      <c r="AN6" s="23"/>
      <c r="AO6" s="23"/>
      <c r="AS6" t="s">
        <v>155</v>
      </c>
      <c r="AT6" t="s">
        <v>156</v>
      </c>
      <c r="AV6" t="s">
        <v>157</v>
      </c>
      <c r="AX6">
        <v>14</v>
      </c>
      <c r="AY6" t="s">
        <v>125</v>
      </c>
      <c r="AZ6" t="s">
        <v>126</v>
      </c>
      <c r="BA6" s="22">
        <v>0</v>
      </c>
      <c r="BB6" s="22">
        <v>0.2</v>
      </c>
      <c r="BD6">
        <v>4</v>
      </c>
      <c r="BE6" t="s">
        <v>127</v>
      </c>
    </row>
    <row r="7" spans="1:57" x14ac:dyDescent="0.35">
      <c r="A7" s="8" t="s">
        <v>57</v>
      </c>
      <c r="B7" s="8" t="s">
        <v>11</v>
      </c>
      <c r="C7" s="8" t="s">
        <v>15</v>
      </c>
      <c r="D7" s="8" t="s">
        <v>70</v>
      </c>
      <c r="F7" s="8"/>
      <c r="G7" s="8" t="s">
        <v>80</v>
      </c>
      <c r="H7" s="8" t="s">
        <v>84</v>
      </c>
      <c r="I7" s="8" t="s">
        <v>76</v>
      </c>
      <c r="K7" s="8"/>
      <c r="L7" s="8" t="s">
        <v>27</v>
      </c>
      <c r="M7" s="8" t="s">
        <v>27</v>
      </c>
      <c r="N7" s="8"/>
      <c r="S7">
        <v>102</v>
      </c>
      <c r="T7" t="s">
        <v>18</v>
      </c>
      <c r="U7">
        <v>2</v>
      </c>
      <c r="Y7" t="str">
        <f t="shared" si="0"/>
        <v>('15',</v>
      </c>
      <c r="Z7" t="str">
        <f t="shared" si="1"/>
        <v>'45°C',</v>
      </c>
      <c r="AA7" t="str">
        <f t="shared" si="2"/>
        <v>'54°C',</v>
      </c>
      <c r="AB7" s="22" t="str">
        <f t="shared" si="3"/>
        <v>'0%',</v>
      </c>
      <c r="AC7" s="22" t="str">
        <f t="shared" si="4"/>
        <v>'20%',</v>
      </c>
      <c r="AD7" s="28" t="str">
        <f t="shared" si="5"/>
        <v>'614',</v>
      </c>
      <c r="AE7" s="28" t="str">
        <f t="shared" si="6"/>
        <v>'818',</v>
      </c>
      <c r="AF7" t="str">
        <f t="shared" si="7"/>
        <v>'5',</v>
      </c>
      <c r="AG7" t="str">
        <f t="shared" si="8"/>
        <v>'Unele specii de bacterii incep sa moara.'),</v>
      </c>
      <c r="AL7" s="25">
        <v>6.14</v>
      </c>
      <c r="AM7" s="25">
        <v>8.18</v>
      </c>
      <c r="AN7" s="24"/>
      <c r="AO7" s="24"/>
      <c r="AX7">
        <v>15</v>
      </c>
      <c r="AY7" t="s">
        <v>125</v>
      </c>
      <c r="AZ7" t="s">
        <v>126</v>
      </c>
      <c r="BA7" s="22">
        <v>0</v>
      </c>
      <c r="BB7" s="22">
        <v>0.2</v>
      </c>
      <c r="BD7">
        <v>5</v>
      </c>
      <c r="BE7" t="s">
        <v>127</v>
      </c>
    </row>
    <row r="8" spans="1:57" x14ac:dyDescent="0.35">
      <c r="A8" s="8"/>
      <c r="B8" s="8" t="s">
        <v>12</v>
      </c>
      <c r="C8" s="8" t="s">
        <v>17</v>
      </c>
      <c r="D8" s="8" t="s">
        <v>67</v>
      </c>
      <c r="F8" s="8"/>
      <c r="G8" s="8" t="s">
        <v>81</v>
      </c>
      <c r="H8" s="8" t="s">
        <v>113</v>
      </c>
      <c r="I8" s="8" t="s">
        <v>77</v>
      </c>
      <c r="K8" s="8"/>
      <c r="L8" s="8" t="s">
        <v>28</v>
      </c>
      <c r="M8" s="8" t="s">
        <v>28</v>
      </c>
      <c r="N8" s="8"/>
      <c r="S8">
        <v>103</v>
      </c>
      <c r="T8" t="s">
        <v>87</v>
      </c>
      <c r="U8">
        <v>2</v>
      </c>
      <c r="Y8" t="str">
        <f t="shared" si="0"/>
        <v>('16',</v>
      </c>
      <c r="Z8" t="str">
        <f t="shared" si="1"/>
        <v>'38°C',</v>
      </c>
      <c r="AA8" t="str">
        <f t="shared" si="2"/>
        <v>'44.9°C',</v>
      </c>
      <c r="AB8" s="22" t="str">
        <f t="shared" si="3"/>
        <v>'21%',</v>
      </c>
      <c r="AC8" s="22" t="str">
        <f t="shared" si="4"/>
        <v>'40%',</v>
      </c>
      <c r="AD8" s="28" t="str">
        <f t="shared" si="5"/>
        <v>'614',</v>
      </c>
      <c r="AE8" s="28" t="str">
        <f t="shared" si="6"/>
        <v>'818',</v>
      </c>
      <c r="AF8" t="str">
        <f t="shared" si="7"/>
        <v>'6',</v>
      </c>
      <c r="AG8" t="str">
        <f t="shared" si="8"/>
        <v>'15% din umiditate este folosita pentru crestere, 85% se pierde prin evaporare si transpiratie.'),</v>
      </c>
      <c r="AL8" s="25">
        <v>6.14</v>
      </c>
      <c r="AM8" s="25">
        <v>8.18</v>
      </c>
      <c r="AN8" s="24"/>
      <c r="AO8" s="24"/>
      <c r="AX8">
        <v>16</v>
      </c>
      <c r="AY8" t="s">
        <v>128</v>
      </c>
      <c r="AZ8" t="s">
        <v>129</v>
      </c>
      <c r="BA8" s="22">
        <v>0.21</v>
      </c>
      <c r="BB8" s="22">
        <v>0.4</v>
      </c>
      <c r="BD8">
        <v>6</v>
      </c>
      <c r="BE8" t="s">
        <v>130</v>
      </c>
    </row>
    <row r="9" spans="1:57" x14ac:dyDescent="0.35">
      <c r="A9" s="8"/>
      <c r="B9" s="8" t="s">
        <v>13</v>
      </c>
      <c r="C9" s="8" t="s">
        <v>18</v>
      </c>
      <c r="D9" s="8" t="s">
        <v>51</v>
      </c>
      <c r="F9" s="8"/>
      <c r="G9" s="8" t="s">
        <v>15</v>
      </c>
      <c r="H9" s="8" t="s">
        <v>87</v>
      </c>
      <c r="I9" s="8" t="s">
        <v>22</v>
      </c>
      <c r="K9" s="8"/>
      <c r="L9" s="8" t="s">
        <v>29</v>
      </c>
      <c r="M9" s="8" t="s">
        <v>29</v>
      </c>
      <c r="N9" s="8"/>
      <c r="S9">
        <v>104</v>
      </c>
      <c r="T9" t="s">
        <v>88</v>
      </c>
      <c r="U9">
        <v>2</v>
      </c>
      <c r="Y9" t="str">
        <f t="shared" si="0"/>
        <v>('17',</v>
      </c>
      <c r="Z9" t="str">
        <f t="shared" si="1"/>
        <v>'38°C',</v>
      </c>
      <c r="AA9" t="str">
        <f t="shared" si="2"/>
        <v>'44.9°C',</v>
      </c>
      <c r="AB9" s="22" t="str">
        <f t="shared" si="3"/>
        <v>'21%',</v>
      </c>
      <c r="AC9" s="22" t="str">
        <f t="shared" si="4"/>
        <v>'40%',</v>
      </c>
      <c r="AD9" s="28" t="str">
        <f t="shared" si="5"/>
        <v>'614',</v>
      </c>
      <c r="AE9" s="28" t="str">
        <f t="shared" si="6"/>
        <v>'818',</v>
      </c>
      <c r="AF9" t="str">
        <f t="shared" si="7"/>
        <v>'7',</v>
      </c>
      <c r="AG9" t="str">
        <f t="shared" si="8"/>
        <v>'15% din umiditate este folosita pentru crestere, 85% se pierde prin evaporare si transpiratie.'),</v>
      </c>
      <c r="AL9" s="25">
        <v>6.14</v>
      </c>
      <c r="AM9" s="25">
        <v>8.18</v>
      </c>
      <c r="AN9" s="24"/>
      <c r="AO9" s="24"/>
      <c r="AX9">
        <v>17</v>
      </c>
      <c r="AY9" t="s">
        <v>128</v>
      </c>
      <c r="AZ9" t="s">
        <v>129</v>
      </c>
      <c r="BA9" s="22">
        <v>0.21</v>
      </c>
      <c r="BB9" s="22">
        <v>0.4</v>
      </c>
      <c r="BD9">
        <v>7</v>
      </c>
      <c r="BE9" t="s">
        <v>130</v>
      </c>
    </row>
    <row r="10" spans="1:57" x14ac:dyDescent="0.35">
      <c r="A10" s="8"/>
      <c r="B10" s="8" t="s">
        <v>14</v>
      </c>
      <c r="C10" s="8" t="s">
        <v>19</v>
      </c>
      <c r="D10" s="8"/>
      <c r="F10" s="8"/>
      <c r="G10" s="8" t="s">
        <v>16</v>
      </c>
      <c r="H10" s="8" t="s">
        <v>74</v>
      </c>
      <c r="I10" s="8"/>
      <c r="K10" s="8"/>
      <c r="L10" s="8" t="s">
        <v>30</v>
      </c>
      <c r="M10" s="8" t="s">
        <v>30</v>
      </c>
      <c r="N10" s="8"/>
      <c r="S10">
        <v>105</v>
      </c>
      <c r="T10" t="s">
        <v>19</v>
      </c>
      <c r="U10">
        <v>2</v>
      </c>
      <c r="Y10" t="str">
        <f t="shared" si="0"/>
        <v>('18',</v>
      </c>
      <c r="Z10" t="str">
        <f t="shared" si="1"/>
        <v>'38°C',</v>
      </c>
      <c r="AA10" t="str">
        <f t="shared" si="2"/>
        <v>'44.9°C',</v>
      </c>
      <c r="AB10" s="22" t="str">
        <f t="shared" si="3"/>
        <v>'21%',</v>
      </c>
      <c r="AC10" s="22" t="str">
        <f t="shared" si="4"/>
        <v>'40%',</v>
      </c>
      <c r="AD10" s="28" t="str">
        <f t="shared" si="5"/>
        <v>'614',</v>
      </c>
      <c r="AE10" s="28" t="str">
        <f t="shared" si="6"/>
        <v>'818',</v>
      </c>
      <c r="AF10" t="str">
        <f t="shared" si="7"/>
        <v>'8',</v>
      </c>
      <c r="AG10" t="str">
        <f t="shared" si="8"/>
        <v>'15% din umiditate este folosita pentru crestere, 85% se pierde prin evaporare si transpiratie.'),</v>
      </c>
      <c r="AL10" s="25">
        <v>6.14</v>
      </c>
      <c r="AM10" s="25">
        <v>8.18</v>
      </c>
      <c r="AN10" s="24"/>
      <c r="AO10" s="24"/>
      <c r="AX10">
        <v>18</v>
      </c>
      <c r="AY10" t="s">
        <v>128</v>
      </c>
      <c r="AZ10" t="s">
        <v>129</v>
      </c>
      <c r="BA10" s="22">
        <v>0.21</v>
      </c>
      <c r="BB10" s="22">
        <v>0.4</v>
      </c>
      <c r="BD10">
        <v>8</v>
      </c>
      <c r="BE10" t="s">
        <v>130</v>
      </c>
    </row>
    <row r="11" spans="1:57" x14ac:dyDescent="0.35">
      <c r="A11" s="8"/>
      <c r="B11" s="8" t="s">
        <v>15</v>
      </c>
      <c r="C11" s="8" t="s">
        <v>20</v>
      </c>
      <c r="D11" s="8"/>
      <c r="F11" s="8"/>
      <c r="G11" s="8" t="s">
        <v>82</v>
      </c>
      <c r="H11" s="8" t="s">
        <v>75</v>
      </c>
      <c r="I11" s="8"/>
      <c r="K11" s="8"/>
      <c r="L11" s="8"/>
      <c r="M11" s="8" t="s">
        <v>71</v>
      </c>
      <c r="N11" s="8"/>
      <c r="S11">
        <v>106</v>
      </c>
      <c r="T11" t="s">
        <v>20</v>
      </c>
      <c r="U11">
        <v>2</v>
      </c>
      <c r="Y11" t="str">
        <f t="shared" si="0"/>
        <v>('19',</v>
      </c>
      <c r="Z11" t="str">
        <f t="shared" si="1"/>
        <v>'38°C',</v>
      </c>
      <c r="AA11" t="str">
        <f t="shared" si="2"/>
        <v>'44.9°C',</v>
      </c>
      <c r="AB11" s="22" t="str">
        <f t="shared" si="3"/>
        <v>'21%',</v>
      </c>
      <c r="AC11" s="22" t="str">
        <f t="shared" si="4"/>
        <v>'40%',</v>
      </c>
      <c r="AD11" s="28" t="str">
        <f t="shared" si="5"/>
        <v>'614',</v>
      </c>
      <c r="AE11" s="28" t="str">
        <f t="shared" si="6"/>
        <v>'818',</v>
      </c>
      <c r="AF11" t="str">
        <f t="shared" si="7"/>
        <v>'9',</v>
      </c>
      <c r="AG11" t="str">
        <f t="shared" si="8"/>
        <v>'15% din umiditate este folosita pentru crestere, 85% se pierde prin evaporare si transpiratie.'),</v>
      </c>
      <c r="AL11" s="25">
        <v>6.14</v>
      </c>
      <c r="AM11" s="25">
        <v>8.18</v>
      </c>
      <c r="AX11">
        <v>19</v>
      </c>
      <c r="AY11" t="s">
        <v>128</v>
      </c>
      <c r="AZ11" t="s">
        <v>129</v>
      </c>
      <c r="BA11" s="22">
        <v>0.21</v>
      </c>
      <c r="BB11" s="22">
        <v>0.4</v>
      </c>
      <c r="BD11">
        <v>9</v>
      </c>
      <c r="BE11" t="s">
        <v>130</v>
      </c>
    </row>
    <row r="12" spans="1:57" x14ac:dyDescent="0.35">
      <c r="A12" s="8"/>
      <c r="B12" s="8" t="s">
        <v>16</v>
      </c>
      <c r="C12" s="8" t="s">
        <v>21</v>
      </c>
      <c r="D12" s="8"/>
      <c r="F12" s="8"/>
      <c r="G12" s="8" t="s">
        <v>83</v>
      </c>
      <c r="H12" s="8" t="s">
        <v>19</v>
      </c>
      <c r="I12" s="8"/>
      <c r="S12">
        <v>107</v>
      </c>
      <c r="T12" t="s">
        <v>89</v>
      </c>
      <c r="U12">
        <v>2</v>
      </c>
      <c r="Y12" t="str">
        <f t="shared" si="0"/>
        <v>('110',</v>
      </c>
      <c r="Z12" t="str">
        <f t="shared" si="1"/>
        <v>'38°C',</v>
      </c>
      <c r="AA12" t="str">
        <f t="shared" si="2"/>
        <v>'44.9°C',</v>
      </c>
      <c r="AB12" s="22" t="str">
        <f t="shared" si="3"/>
        <v>'21%',</v>
      </c>
      <c r="AC12" s="22" t="str">
        <f t="shared" si="4"/>
        <v>'40%',</v>
      </c>
      <c r="AD12" s="28" t="str">
        <f t="shared" si="5"/>
        <v>'614',</v>
      </c>
      <c r="AE12" s="28" t="str">
        <f t="shared" si="6"/>
        <v>'818',</v>
      </c>
      <c r="AF12" t="str">
        <f t="shared" si="7"/>
        <v>'10',</v>
      </c>
      <c r="AG12" t="str">
        <f t="shared" si="8"/>
        <v>'15% din umiditate este folosita pentru crestere, 85% se pierde prin evaporare si transpiratie.'),</v>
      </c>
      <c r="AL12" s="25">
        <v>6.14</v>
      </c>
      <c r="AM12" s="25">
        <v>8.18</v>
      </c>
      <c r="AX12">
        <v>110</v>
      </c>
      <c r="AY12" t="s">
        <v>128</v>
      </c>
      <c r="AZ12" t="s">
        <v>129</v>
      </c>
      <c r="BA12" s="22">
        <v>0.21</v>
      </c>
      <c r="BB12" s="22">
        <v>0.4</v>
      </c>
      <c r="BD12">
        <v>10</v>
      </c>
      <c r="BE12" t="s">
        <v>130</v>
      </c>
    </row>
    <row r="13" spans="1:57" x14ac:dyDescent="0.35">
      <c r="A13" s="8"/>
      <c r="B13" s="8" t="s">
        <v>18</v>
      </c>
      <c r="C13" s="8" t="s">
        <v>22</v>
      </c>
      <c r="D13" s="8"/>
      <c r="F13" s="8"/>
      <c r="G13" s="8" t="s">
        <v>84</v>
      </c>
      <c r="H13" s="8" t="s">
        <v>20</v>
      </c>
      <c r="I13" s="8"/>
      <c r="S13">
        <v>108</v>
      </c>
      <c r="T13" t="s">
        <v>90</v>
      </c>
      <c r="U13">
        <v>2</v>
      </c>
      <c r="Y13" t="str">
        <f t="shared" si="0"/>
        <v>('111',</v>
      </c>
      <c r="Z13" t="str">
        <f t="shared" si="1"/>
        <v>'38°C',</v>
      </c>
      <c r="AA13" t="str">
        <f t="shared" si="2"/>
        <v>'44.9°C',</v>
      </c>
      <c r="AB13" s="22" t="str">
        <f t="shared" si="3"/>
        <v>'21%',</v>
      </c>
      <c r="AC13" s="22" t="str">
        <f t="shared" si="4"/>
        <v>'40%',</v>
      </c>
      <c r="AD13" s="28" t="str">
        <f t="shared" si="5"/>
        <v>'614',</v>
      </c>
      <c r="AE13" s="28" t="str">
        <f t="shared" si="6"/>
        <v>'818',</v>
      </c>
      <c r="AF13" t="str">
        <f t="shared" si="7"/>
        <v>'11',</v>
      </c>
      <c r="AG13" t="str">
        <f t="shared" si="8"/>
        <v>'15% din umiditate este folosita pentru crestere, 85% se pierde prin evaporare si transpiratie.'),</v>
      </c>
      <c r="AL13" s="25">
        <v>6.14</v>
      </c>
      <c r="AM13" s="25">
        <v>8.18</v>
      </c>
      <c r="AX13">
        <v>111</v>
      </c>
      <c r="AY13" t="s">
        <v>128</v>
      </c>
      <c r="AZ13" t="s">
        <v>129</v>
      </c>
      <c r="BA13" s="22">
        <v>0.21</v>
      </c>
      <c r="BB13" s="22">
        <v>0.4</v>
      </c>
      <c r="BD13">
        <v>11</v>
      </c>
      <c r="BE13" t="s">
        <v>130</v>
      </c>
    </row>
    <row r="14" spans="1:57" x14ac:dyDescent="0.35">
      <c r="A14" s="8"/>
      <c r="B14" s="8" t="s">
        <v>19</v>
      </c>
      <c r="C14" s="8" t="s">
        <v>59</v>
      </c>
      <c r="D14" s="8"/>
      <c r="F14" s="8"/>
      <c r="G14" s="8" t="s">
        <v>85</v>
      </c>
      <c r="H14" s="8" t="s">
        <v>21</v>
      </c>
      <c r="I14" s="8"/>
      <c r="S14">
        <v>109</v>
      </c>
      <c r="T14" t="s">
        <v>91</v>
      </c>
      <c r="U14">
        <v>2</v>
      </c>
      <c r="Y14" t="str">
        <f t="shared" si="0"/>
        <v>('112',</v>
      </c>
      <c r="Z14" t="str">
        <f t="shared" si="1"/>
        <v>'38°C',</v>
      </c>
      <c r="AA14" t="str">
        <f t="shared" si="2"/>
        <v>'44.9°C',</v>
      </c>
      <c r="AB14" s="22" t="str">
        <f t="shared" si="3"/>
        <v>'21%',</v>
      </c>
      <c r="AC14" s="22" t="str">
        <f t="shared" si="4"/>
        <v>'40%',</v>
      </c>
      <c r="AD14" s="28" t="str">
        <f t="shared" si="5"/>
        <v>'614',</v>
      </c>
      <c r="AE14" s="28" t="str">
        <f t="shared" si="6"/>
        <v>'818',</v>
      </c>
      <c r="AF14" t="str">
        <f t="shared" si="7"/>
        <v>'12',</v>
      </c>
      <c r="AG14" t="str">
        <f t="shared" si="8"/>
        <v>'15% din umiditate este folosita pentru crestere, 85% se pierde prin evaporare si transpiratie.'),</v>
      </c>
      <c r="AL14" s="25">
        <v>6.14</v>
      </c>
      <c r="AM14" s="25">
        <v>8.18</v>
      </c>
      <c r="AX14">
        <v>112</v>
      </c>
      <c r="AY14" t="s">
        <v>128</v>
      </c>
      <c r="AZ14" t="s">
        <v>129</v>
      </c>
      <c r="BA14" s="22">
        <v>0.21</v>
      </c>
      <c r="BB14" s="22">
        <v>0.4</v>
      </c>
      <c r="BD14">
        <v>12</v>
      </c>
      <c r="BE14" t="s">
        <v>130</v>
      </c>
    </row>
    <row r="15" spans="1:57" x14ac:dyDescent="0.35">
      <c r="A15" s="8"/>
      <c r="B15" s="8" t="s">
        <v>20</v>
      </c>
      <c r="C15" s="8" t="s">
        <v>34</v>
      </c>
      <c r="D15" s="8"/>
      <c r="F15" s="8"/>
      <c r="G15" s="8" t="s">
        <v>86</v>
      </c>
      <c r="H15" s="8" t="s">
        <v>114</v>
      </c>
      <c r="I15" s="8"/>
      <c r="S15">
        <v>11</v>
      </c>
      <c r="T15" t="s">
        <v>12</v>
      </c>
      <c r="U15">
        <v>1</v>
      </c>
      <c r="Y15" t="str">
        <f t="shared" si="0"/>
        <v>('113',</v>
      </c>
      <c r="Z15" t="str">
        <f t="shared" si="1"/>
        <v>'38°C',</v>
      </c>
      <c r="AA15" t="str">
        <f t="shared" si="2"/>
        <v>'44.9°C',</v>
      </c>
      <c r="AB15" s="22" t="str">
        <f t="shared" si="3"/>
        <v>'21%',</v>
      </c>
      <c r="AC15" s="22" t="str">
        <f t="shared" si="4"/>
        <v>'40%',</v>
      </c>
      <c r="AD15" s="28" t="str">
        <f t="shared" si="5"/>
        <v>'614',</v>
      </c>
      <c r="AE15" s="28" t="str">
        <f t="shared" si="6"/>
        <v>'818',</v>
      </c>
      <c r="AF15" t="str">
        <f t="shared" si="7"/>
        <v>'13',</v>
      </c>
      <c r="AG15" t="str">
        <f t="shared" si="8"/>
        <v>'15% din umiditate este folosita pentru crestere, 85% se pierde prin evaporare si transpiratie.'),</v>
      </c>
      <c r="AL15" s="25">
        <v>6.14</v>
      </c>
      <c r="AM15" s="25">
        <v>8.18</v>
      </c>
      <c r="AX15">
        <v>113</v>
      </c>
      <c r="AY15" t="s">
        <v>128</v>
      </c>
      <c r="AZ15" t="s">
        <v>129</v>
      </c>
      <c r="BA15" s="22">
        <v>0.21</v>
      </c>
      <c r="BB15" s="22">
        <v>0.4</v>
      </c>
      <c r="BD15">
        <v>13</v>
      </c>
      <c r="BE15" t="s">
        <v>130</v>
      </c>
    </row>
    <row r="16" spans="1:57" x14ac:dyDescent="0.35">
      <c r="A16" s="8"/>
      <c r="B16" s="8" t="s">
        <v>7</v>
      </c>
      <c r="C16" s="8" t="s">
        <v>60</v>
      </c>
      <c r="D16" s="8"/>
      <c r="F16" s="8"/>
      <c r="G16" s="8" t="s">
        <v>18</v>
      </c>
      <c r="H16" s="8" t="s">
        <v>115</v>
      </c>
      <c r="I16" s="8"/>
      <c r="S16">
        <v>110</v>
      </c>
      <c r="T16" t="s">
        <v>92</v>
      </c>
      <c r="U16">
        <v>2</v>
      </c>
      <c r="Y16" t="str">
        <f t="shared" si="0"/>
        <v>('114',</v>
      </c>
      <c r="Z16" t="str">
        <f t="shared" si="1"/>
        <v>'38°C',</v>
      </c>
      <c r="AA16" t="str">
        <f t="shared" si="2"/>
        <v>'44.9°C',</v>
      </c>
      <c r="AB16" s="22" t="str">
        <f t="shared" si="3"/>
        <v>'21%',</v>
      </c>
      <c r="AC16" s="22" t="str">
        <f t="shared" si="4"/>
        <v>'40%',</v>
      </c>
      <c r="AD16" s="28" t="str">
        <f t="shared" si="5"/>
        <v>'614',</v>
      </c>
      <c r="AE16" s="28" t="str">
        <f t="shared" si="6"/>
        <v>'818',</v>
      </c>
      <c r="AF16" t="str">
        <f t="shared" si="7"/>
        <v>'14',</v>
      </c>
      <c r="AG16" t="str">
        <f t="shared" si="8"/>
        <v>'15% din umiditate este folosita pentru crestere, 85% se pierde prin evaporare si transpiratie.'),</v>
      </c>
      <c r="AL16" s="25">
        <v>6.14</v>
      </c>
      <c r="AM16" s="25">
        <v>8.18</v>
      </c>
      <c r="AX16">
        <v>114</v>
      </c>
      <c r="AY16" t="s">
        <v>128</v>
      </c>
      <c r="AZ16" t="s">
        <v>129</v>
      </c>
      <c r="BA16" s="22">
        <v>0.21</v>
      </c>
      <c r="BB16" s="22">
        <v>0.4</v>
      </c>
      <c r="BD16">
        <v>14</v>
      </c>
      <c r="BE16" t="s">
        <v>130</v>
      </c>
    </row>
    <row r="17" spans="1:57" x14ac:dyDescent="0.35">
      <c r="A17" s="8"/>
      <c r="B17" s="8" t="s">
        <v>4</v>
      </c>
      <c r="C17" s="8" t="s">
        <v>37</v>
      </c>
      <c r="D17" s="8"/>
      <c r="F17" s="8"/>
      <c r="G17" s="8" t="s">
        <v>87</v>
      </c>
      <c r="H17" s="8" t="s">
        <v>116</v>
      </c>
      <c r="I17" s="8"/>
      <c r="S17">
        <v>111</v>
      </c>
      <c r="T17" t="s">
        <v>93</v>
      </c>
      <c r="U17">
        <v>2</v>
      </c>
      <c r="Y17" t="str">
        <f t="shared" si="0"/>
        <v>('115',</v>
      </c>
      <c r="Z17" t="str">
        <f t="shared" si="1"/>
        <v>'38°C',</v>
      </c>
      <c r="AA17" t="str">
        <f t="shared" si="2"/>
        <v>'44.9°C',</v>
      </c>
      <c r="AB17" s="22" t="str">
        <f t="shared" si="3"/>
        <v>'21%',</v>
      </c>
      <c r="AC17" s="22" t="str">
        <f t="shared" si="4"/>
        <v>'40%',</v>
      </c>
      <c r="AD17" s="28" t="str">
        <f t="shared" si="5"/>
        <v>'614',</v>
      </c>
      <c r="AE17" s="28" t="str">
        <f t="shared" si="6"/>
        <v>'818',</v>
      </c>
      <c r="AF17" t="str">
        <f t="shared" si="7"/>
        <v>'15',</v>
      </c>
      <c r="AG17" t="str">
        <f t="shared" si="8"/>
        <v>'15% din umiditate este folosita pentru crestere, 85% se pierde prin evaporare si transpiratie.'),</v>
      </c>
      <c r="AL17" s="25">
        <v>6.14</v>
      </c>
      <c r="AM17" s="25">
        <v>8.18</v>
      </c>
      <c r="AX17">
        <v>115</v>
      </c>
      <c r="AY17" t="s">
        <v>128</v>
      </c>
      <c r="AZ17" t="s">
        <v>129</v>
      </c>
      <c r="BA17" s="22">
        <v>0.21</v>
      </c>
      <c r="BB17" s="22">
        <v>0.4</v>
      </c>
      <c r="BD17">
        <v>15</v>
      </c>
      <c r="BE17" t="s">
        <v>130</v>
      </c>
    </row>
    <row r="18" spans="1:57" x14ac:dyDescent="0.35">
      <c r="A18" s="8"/>
      <c r="B18" s="8" t="s">
        <v>32</v>
      </c>
      <c r="C18" s="8" t="s">
        <v>39</v>
      </c>
      <c r="D18" s="8"/>
      <c r="F18" s="8"/>
      <c r="G18" s="8" t="s">
        <v>88</v>
      </c>
      <c r="H18" s="8" t="s">
        <v>105</v>
      </c>
      <c r="I18" s="8"/>
      <c r="S18">
        <v>112</v>
      </c>
      <c r="T18" t="s">
        <v>94</v>
      </c>
      <c r="U18">
        <v>2</v>
      </c>
      <c r="Y18" t="str">
        <f t="shared" si="0"/>
        <v>('116',</v>
      </c>
      <c r="Z18" t="str">
        <f t="shared" si="1"/>
        <v>'38°C',</v>
      </c>
      <c r="AA18" t="str">
        <f t="shared" si="2"/>
        <v>'44.9°C',</v>
      </c>
      <c r="AB18" s="22" t="str">
        <f t="shared" si="3"/>
        <v>'21%',</v>
      </c>
      <c r="AC18" s="22" t="str">
        <f t="shared" si="4"/>
        <v>'40%',</v>
      </c>
      <c r="AD18" s="28" t="str">
        <f t="shared" si="5"/>
        <v>'614',</v>
      </c>
      <c r="AE18" s="28" t="str">
        <f t="shared" si="6"/>
        <v>'818',</v>
      </c>
      <c r="AF18" t="str">
        <f t="shared" si="7"/>
        <v>'16',</v>
      </c>
      <c r="AG18" t="str">
        <f t="shared" si="8"/>
        <v>'15% din umiditate este folosita pentru crestere, 85% se pierde prin evaporare si transpiratie.'),</v>
      </c>
      <c r="AL18" s="25">
        <v>6.14</v>
      </c>
      <c r="AM18" s="25">
        <v>8.18</v>
      </c>
      <c r="AX18">
        <v>116</v>
      </c>
      <c r="AY18" t="s">
        <v>128</v>
      </c>
      <c r="AZ18" t="s">
        <v>129</v>
      </c>
      <c r="BA18" s="22">
        <v>0.21</v>
      </c>
      <c r="BB18" s="22">
        <v>0.4</v>
      </c>
      <c r="BD18">
        <v>16</v>
      </c>
      <c r="BE18" t="s">
        <v>130</v>
      </c>
    </row>
    <row r="19" spans="1:57" x14ac:dyDescent="0.35">
      <c r="A19" s="8"/>
      <c r="B19" s="8" t="s">
        <v>6</v>
      </c>
      <c r="C19" s="8" t="s">
        <v>61</v>
      </c>
      <c r="D19" s="8"/>
      <c r="F19" s="8"/>
      <c r="G19" s="8" t="s">
        <v>19</v>
      </c>
      <c r="H19" s="8" t="s">
        <v>106</v>
      </c>
      <c r="I19" s="8"/>
      <c r="S19">
        <v>113</v>
      </c>
      <c r="T19" t="s">
        <v>95</v>
      </c>
      <c r="U19">
        <v>2</v>
      </c>
      <c r="Y19" t="str">
        <f t="shared" si="0"/>
        <v>('117',</v>
      </c>
      <c r="Z19" t="str">
        <f t="shared" si="1"/>
        <v>'38°C',</v>
      </c>
      <c r="AA19" t="str">
        <f t="shared" si="2"/>
        <v>'44.9°C',</v>
      </c>
      <c r="AB19" s="22" t="str">
        <f t="shared" si="3"/>
        <v>'21%',</v>
      </c>
      <c r="AC19" s="22" t="str">
        <f t="shared" si="4"/>
        <v>'40%',</v>
      </c>
      <c r="AD19" s="28" t="str">
        <f t="shared" si="5"/>
        <v>'614',</v>
      </c>
      <c r="AE19" s="28" t="str">
        <f t="shared" si="6"/>
        <v>'818',</v>
      </c>
      <c r="AF19" t="str">
        <f t="shared" si="7"/>
        <v>'17',</v>
      </c>
      <c r="AG19" t="str">
        <f t="shared" si="8"/>
        <v>'15% din umiditate este folosita pentru crestere, 85% se pierde prin evaporare si transpiratie.'),</v>
      </c>
      <c r="AL19" s="25">
        <v>6.14</v>
      </c>
      <c r="AM19" s="25">
        <v>8.18</v>
      </c>
      <c r="AX19">
        <v>117</v>
      </c>
      <c r="AY19" t="s">
        <v>128</v>
      </c>
      <c r="AZ19" t="s">
        <v>129</v>
      </c>
      <c r="BA19" s="22">
        <v>0.21</v>
      </c>
      <c r="BB19" s="22">
        <v>0.4</v>
      </c>
      <c r="BD19">
        <v>17</v>
      </c>
      <c r="BE19" t="s">
        <v>130</v>
      </c>
    </row>
    <row r="20" spans="1:57" x14ac:dyDescent="0.35">
      <c r="A20" s="8"/>
      <c r="B20" s="8" t="s">
        <v>8</v>
      </c>
      <c r="C20" s="8" t="s">
        <v>62</v>
      </c>
      <c r="D20" s="8"/>
      <c r="F20" s="8"/>
      <c r="G20" s="8" t="s">
        <v>20</v>
      </c>
      <c r="H20" s="8" t="s">
        <v>110</v>
      </c>
      <c r="I20" s="8"/>
      <c r="S20">
        <v>114</v>
      </c>
      <c r="T20" t="s">
        <v>96</v>
      </c>
      <c r="U20">
        <v>2</v>
      </c>
      <c r="Y20" t="str">
        <f t="shared" si="0"/>
        <v>('118',</v>
      </c>
      <c r="Z20" t="str">
        <f t="shared" si="1"/>
        <v>'38°C',</v>
      </c>
      <c r="AA20" t="str">
        <f t="shared" si="2"/>
        <v>'44.9°C',</v>
      </c>
      <c r="AB20" s="22" t="str">
        <f t="shared" si="3"/>
        <v>'21%',</v>
      </c>
      <c r="AC20" s="22" t="str">
        <f t="shared" si="4"/>
        <v>'40%',</v>
      </c>
      <c r="AD20" s="28" t="str">
        <f t="shared" si="5"/>
        <v>'614',</v>
      </c>
      <c r="AE20" s="28" t="str">
        <f t="shared" si="6"/>
        <v>'818',</v>
      </c>
      <c r="AF20" t="str">
        <f t="shared" si="7"/>
        <v>'18',</v>
      </c>
      <c r="AG20" t="str">
        <f t="shared" si="8"/>
        <v>'15% din umiditate este folosita pentru crestere, 85% se pierde prin evaporare si transpiratie.'),</v>
      </c>
      <c r="AL20" s="25">
        <v>6.14</v>
      </c>
      <c r="AM20" s="25">
        <v>8.18</v>
      </c>
      <c r="AX20">
        <v>118</v>
      </c>
      <c r="AY20" t="s">
        <v>128</v>
      </c>
      <c r="AZ20" t="s">
        <v>129</v>
      </c>
      <c r="BA20" s="22">
        <v>0.21</v>
      </c>
      <c r="BB20" s="22">
        <v>0.4</v>
      </c>
      <c r="BD20">
        <v>18</v>
      </c>
      <c r="BE20" t="s">
        <v>130</v>
      </c>
    </row>
    <row r="21" spans="1:57" x14ac:dyDescent="0.35">
      <c r="A21" s="8"/>
      <c r="B21" s="8" t="s">
        <v>9</v>
      </c>
      <c r="C21" s="8" t="s">
        <v>63</v>
      </c>
      <c r="D21" s="8"/>
      <c r="F21" s="8"/>
      <c r="G21" s="8" t="s">
        <v>89</v>
      </c>
      <c r="H21" s="8" t="s">
        <v>77</v>
      </c>
      <c r="I21" s="8"/>
      <c r="S21">
        <v>115</v>
      </c>
      <c r="T21" t="s">
        <v>97</v>
      </c>
      <c r="U21">
        <v>2</v>
      </c>
      <c r="Y21" t="str">
        <f t="shared" si="0"/>
        <v>('119',</v>
      </c>
      <c r="Z21" t="str">
        <f t="shared" si="1"/>
        <v>'38°C',</v>
      </c>
      <c r="AA21" t="str">
        <f t="shared" si="2"/>
        <v>'44.9°C',</v>
      </c>
      <c r="AB21" s="22" t="str">
        <f t="shared" si="3"/>
        <v>'21%',</v>
      </c>
      <c r="AC21" s="22" t="str">
        <f t="shared" si="4"/>
        <v>'40%',</v>
      </c>
      <c r="AD21" s="28" t="str">
        <f t="shared" si="5"/>
        <v>'614',</v>
      </c>
      <c r="AE21" s="28" t="str">
        <f t="shared" si="6"/>
        <v>'818',</v>
      </c>
      <c r="AF21" t="str">
        <f t="shared" si="7"/>
        <v>'19',</v>
      </c>
      <c r="AG21" t="str">
        <f t="shared" si="8"/>
        <v>'15% din umiditate este folosita pentru crestere, 85% se pierde prin evaporare si transpiratie.'),</v>
      </c>
      <c r="AL21" s="25">
        <v>6.14</v>
      </c>
      <c r="AM21" s="25">
        <v>8.18</v>
      </c>
      <c r="AX21">
        <v>119</v>
      </c>
      <c r="AY21" t="s">
        <v>128</v>
      </c>
      <c r="AZ21" t="s">
        <v>129</v>
      </c>
      <c r="BA21" s="22">
        <v>0.21</v>
      </c>
      <c r="BB21" s="22">
        <v>0.4</v>
      </c>
      <c r="BD21">
        <v>19</v>
      </c>
      <c r="BE21" t="s">
        <v>130</v>
      </c>
    </row>
    <row r="22" spans="1:57" x14ac:dyDescent="0.35">
      <c r="A22" s="8"/>
      <c r="B22" s="8" t="s">
        <v>33</v>
      </c>
      <c r="C22" s="8" t="s">
        <v>42</v>
      </c>
      <c r="D22" s="8"/>
      <c r="F22" s="8"/>
      <c r="G22" s="8" t="s">
        <v>90</v>
      </c>
      <c r="H22" s="8" t="s">
        <v>117</v>
      </c>
      <c r="I22" s="8"/>
      <c r="S22">
        <v>116</v>
      </c>
      <c r="T22" t="s">
        <v>98</v>
      </c>
      <c r="U22">
        <v>2</v>
      </c>
      <c r="Y22" t="str">
        <f t="shared" si="0"/>
        <v>('120',</v>
      </c>
      <c r="Z22" t="str">
        <f t="shared" si="1"/>
        <v>'38°C',</v>
      </c>
      <c r="AA22" t="str">
        <f t="shared" si="2"/>
        <v>'44.9°C',</v>
      </c>
      <c r="AB22" s="22" t="str">
        <f t="shared" si="3"/>
        <v>'21%',</v>
      </c>
      <c r="AC22" s="22" t="str">
        <f t="shared" si="4"/>
        <v>'40%',</v>
      </c>
      <c r="AD22" s="28" t="str">
        <f t="shared" si="5"/>
        <v>'614',</v>
      </c>
      <c r="AE22" s="28" t="str">
        <f t="shared" si="6"/>
        <v>'818',</v>
      </c>
      <c r="AF22" t="str">
        <f t="shared" si="7"/>
        <v>'20',</v>
      </c>
      <c r="AG22" t="str">
        <f t="shared" si="8"/>
        <v>'15% din umiditate este folosita pentru crestere, 85% se pierde prin evaporare si transpiratie.'),</v>
      </c>
      <c r="AL22" s="25">
        <v>6.14</v>
      </c>
      <c r="AM22" s="25">
        <v>8.18</v>
      </c>
      <c r="AX22">
        <v>120</v>
      </c>
      <c r="AY22" t="s">
        <v>128</v>
      </c>
      <c r="AZ22" t="s">
        <v>129</v>
      </c>
      <c r="BA22" s="22">
        <v>0.21</v>
      </c>
      <c r="BB22" s="22">
        <v>0.4</v>
      </c>
      <c r="BD22">
        <v>20</v>
      </c>
      <c r="BE22" t="s">
        <v>130</v>
      </c>
    </row>
    <row r="23" spans="1:57" x14ac:dyDescent="0.35">
      <c r="A23" s="8"/>
      <c r="B23" s="8" t="s">
        <v>34</v>
      </c>
      <c r="C23" s="8" t="s">
        <v>64</v>
      </c>
      <c r="D23" s="8"/>
      <c r="F23" s="8"/>
      <c r="G23" s="8" t="s">
        <v>91</v>
      </c>
      <c r="H23" s="8" t="s">
        <v>22</v>
      </c>
      <c r="I23" s="8"/>
      <c r="S23">
        <v>117</v>
      </c>
      <c r="T23" t="s">
        <v>99</v>
      </c>
      <c r="U23">
        <v>2</v>
      </c>
      <c r="Y23" t="str">
        <f t="shared" si="0"/>
        <v>('121',</v>
      </c>
      <c r="Z23" t="str">
        <f t="shared" si="1"/>
        <v>'38°C',</v>
      </c>
      <c r="AA23" t="str">
        <f t="shared" si="2"/>
        <v>'44.9°C',</v>
      </c>
      <c r="AB23" s="22" t="str">
        <f t="shared" si="3"/>
        <v>'21%',</v>
      </c>
      <c r="AC23" s="22" t="str">
        <f t="shared" si="4"/>
        <v>'40%',</v>
      </c>
      <c r="AD23" s="28" t="str">
        <f t="shared" si="5"/>
        <v>'614',</v>
      </c>
      <c r="AE23" s="28" t="str">
        <f t="shared" si="6"/>
        <v>'818',</v>
      </c>
      <c r="AF23" t="str">
        <f t="shared" si="7"/>
        <v>'21',</v>
      </c>
      <c r="AG23" t="str">
        <f t="shared" si="8"/>
        <v>'15% din umiditate este folosita pentru crestere, 85% se pierde prin evaporare si transpiratie.'),</v>
      </c>
      <c r="AL23" s="25">
        <v>6.14</v>
      </c>
      <c r="AM23" s="25">
        <v>8.18</v>
      </c>
      <c r="AX23">
        <v>121</v>
      </c>
      <c r="AY23" t="s">
        <v>128</v>
      </c>
      <c r="AZ23" t="s">
        <v>129</v>
      </c>
      <c r="BA23" s="22">
        <v>0.21</v>
      </c>
      <c r="BB23" s="22">
        <v>0.4</v>
      </c>
      <c r="BD23">
        <v>21</v>
      </c>
      <c r="BE23" t="s">
        <v>130</v>
      </c>
    </row>
    <row r="24" spans="1:57" x14ac:dyDescent="0.35">
      <c r="A24" s="8"/>
      <c r="B24" s="8" t="s">
        <v>35</v>
      </c>
      <c r="C24" s="8" t="s">
        <v>65</v>
      </c>
      <c r="D24" s="8"/>
      <c r="F24" s="8"/>
      <c r="G24" s="8" t="s">
        <v>92</v>
      </c>
      <c r="H24" s="8"/>
      <c r="I24" s="8"/>
      <c r="S24">
        <v>118</v>
      </c>
      <c r="T24" t="s">
        <v>100</v>
      </c>
      <c r="U24">
        <v>2</v>
      </c>
      <c r="Y24" t="str">
        <f t="shared" si="0"/>
        <v>('122',</v>
      </c>
      <c r="Z24" t="str">
        <f t="shared" si="1"/>
        <v>'38°C',</v>
      </c>
      <c r="AA24" t="str">
        <f t="shared" si="2"/>
        <v>'44.9°C',</v>
      </c>
      <c r="AB24" s="22" t="str">
        <f t="shared" si="3"/>
        <v>'21%',</v>
      </c>
      <c r="AC24" s="22" t="str">
        <f t="shared" si="4"/>
        <v>'40%',</v>
      </c>
      <c r="AD24" s="28" t="str">
        <f t="shared" si="5"/>
        <v>'614',</v>
      </c>
      <c r="AE24" s="28" t="str">
        <f t="shared" si="6"/>
        <v>'818',</v>
      </c>
      <c r="AF24" t="str">
        <f t="shared" si="7"/>
        <v>'22',</v>
      </c>
      <c r="AG24" t="str">
        <f t="shared" si="8"/>
        <v>'15% din umiditate este folosita pentru crestere, 85% se pierde prin evaporare si transpiratie.'),</v>
      </c>
      <c r="AL24" s="25">
        <v>6.14</v>
      </c>
      <c r="AM24" s="25">
        <v>8.18</v>
      </c>
      <c r="AX24">
        <v>122</v>
      </c>
      <c r="AY24" t="s">
        <v>128</v>
      </c>
      <c r="AZ24" t="s">
        <v>129</v>
      </c>
      <c r="BA24" s="22">
        <v>0.21</v>
      </c>
      <c r="BB24" s="22">
        <v>0.4</v>
      </c>
      <c r="BD24">
        <v>22</v>
      </c>
      <c r="BE24" t="s">
        <v>130</v>
      </c>
    </row>
    <row r="25" spans="1:57" x14ac:dyDescent="0.35">
      <c r="A25" s="8"/>
      <c r="B25" s="8" t="s">
        <v>36</v>
      </c>
      <c r="C25" s="8" t="s">
        <v>66</v>
      </c>
      <c r="D25" s="8"/>
      <c r="F25" s="8"/>
      <c r="G25" s="8" t="s">
        <v>93</v>
      </c>
      <c r="H25" s="8"/>
      <c r="I25" s="8"/>
      <c r="S25">
        <v>119</v>
      </c>
      <c r="T25" t="s">
        <v>101</v>
      </c>
      <c r="U25">
        <v>2</v>
      </c>
      <c r="Y25" t="str">
        <f t="shared" si="0"/>
        <v>('123',</v>
      </c>
      <c r="Z25" t="str">
        <f t="shared" si="1"/>
        <v>'38°C',</v>
      </c>
      <c r="AA25" t="str">
        <f t="shared" si="2"/>
        <v>'44.9°C',</v>
      </c>
      <c r="AB25" s="22" t="str">
        <f t="shared" si="3"/>
        <v>'21%',</v>
      </c>
      <c r="AC25" s="22" t="str">
        <f t="shared" si="4"/>
        <v>'40%',</v>
      </c>
      <c r="AD25" s="28" t="str">
        <f t="shared" si="5"/>
        <v>'614',</v>
      </c>
      <c r="AE25" s="28" t="str">
        <f t="shared" si="6"/>
        <v>'818',</v>
      </c>
      <c r="AF25" t="str">
        <f t="shared" si="7"/>
        <v>'23',</v>
      </c>
      <c r="AG25" t="str">
        <f t="shared" si="8"/>
        <v>'15% din umiditate este folosita pentru crestere, 85% se pierde prin evaporare si transpiratie.'),</v>
      </c>
      <c r="AL25" s="25">
        <v>6.14</v>
      </c>
      <c r="AM25" s="25">
        <v>8.18</v>
      </c>
      <c r="AX25">
        <v>123</v>
      </c>
      <c r="AY25" t="s">
        <v>128</v>
      </c>
      <c r="AZ25" t="s">
        <v>129</v>
      </c>
      <c r="BA25" s="22">
        <v>0.21</v>
      </c>
      <c r="BB25" s="22">
        <v>0.4</v>
      </c>
      <c r="BD25">
        <v>23</v>
      </c>
      <c r="BE25" t="s">
        <v>130</v>
      </c>
    </row>
    <row r="26" spans="1:57" x14ac:dyDescent="0.35">
      <c r="A26" s="8"/>
      <c r="B26" s="8" t="s">
        <v>37</v>
      </c>
      <c r="C26" s="8" t="s">
        <v>67</v>
      </c>
      <c r="D26" s="8"/>
      <c r="F26" s="8"/>
      <c r="G26" s="8" t="s">
        <v>94</v>
      </c>
      <c r="H26" s="8"/>
      <c r="I26" s="8"/>
      <c r="S26">
        <v>12</v>
      </c>
      <c r="T26" t="s">
        <v>13</v>
      </c>
      <c r="U26">
        <v>1</v>
      </c>
      <c r="Y26" t="str">
        <f t="shared" si="0"/>
        <v>('124',</v>
      </c>
      <c r="Z26" t="str">
        <f t="shared" si="1"/>
        <v>'38°C',</v>
      </c>
      <c r="AA26" t="str">
        <f t="shared" si="2"/>
        <v>'44.9°C',</v>
      </c>
      <c r="AB26" s="22" t="str">
        <f t="shared" si="3"/>
        <v>'21%',</v>
      </c>
      <c r="AC26" s="22" t="str">
        <f t="shared" si="4"/>
        <v>'40%',</v>
      </c>
      <c r="AD26" s="28" t="str">
        <f t="shared" si="5"/>
        <v>'614',</v>
      </c>
      <c r="AE26" s="28" t="str">
        <f t="shared" si="6"/>
        <v>'818',</v>
      </c>
      <c r="AF26" t="str">
        <f t="shared" si="7"/>
        <v>'24',</v>
      </c>
      <c r="AG26" t="str">
        <f t="shared" si="8"/>
        <v>'15% din umiditate este folosita pentru crestere, 85% se pierde prin evaporare si transpiratie.'),</v>
      </c>
      <c r="AL26" s="25">
        <v>6.14</v>
      </c>
      <c r="AM26" s="25">
        <v>8.18</v>
      </c>
      <c r="AX26">
        <v>124</v>
      </c>
      <c r="AY26" t="s">
        <v>128</v>
      </c>
      <c r="AZ26" t="s">
        <v>129</v>
      </c>
      <c r="BA26" s="22">
        <v>0.21</v>
      </c>
      <c r="BB26" s="22">
        <v>0.4</v>
      </c>
      <c r="BD26">
        <v>24</v>
      </c>
      <c r="BE26" t="s">
        <v>130</v>
      </c>
    </row>
    <row r="27" spans="1:57" x14ac:dyDescent="0.35">
      <c r="A27" s="8"/>
      <c r="B27" s="8" t="s">
        <v>38</v>
      </c>
      <c r="C27" s="8" t="s">
        <v>47</v>
      </c>
      <c r="D27" s="8"/>
      <c r="F27" s="8"/>
      <c r="G27" s="8" t="s">
        <v>95</v>
      </c>
      <c r="H27" s="8"/>
      <c r="I27" s="8"/>
      <c r="S27">
        <v>120</v>
      </c>
      <c r="T27" t="s">
        <v>102</v>
      </c>
      <c r="U27">
        <v>2</v>
      </c>
      <c r="Y27" t="str">
        <f t="shared" si="0"/>
        <v>('125',</v>
      </c>
      <c r="Z27" t="str">
        <f t="shared" si="1"/>
        <v>'38°C',</v>
      </c>
      <c r="AA27" t="str">
        <f t="shared" si="2"/>
        <v>'44.9°C',</v>
      </c>
      <c r="AB27" s="22" t="str">
        <f t="shared" si="3"/>
        <v>'21%',</v>
      </c>
      <c r="AC27" s="22" t="str">
        <f t="shared" si="4"/>
        <v>'40%',</v>
      </c>
      <c r="AD27" s="28" t="str">
        <f t="shared" si="5"/>
        <v>'614',</v>
      </c>
      <c r="AE27" s="28" t="str">
        <f t="shared" si="6"/>
        <v>'818',</v>
      </c>
      <c r="AF27" t="str">
        <f t="shared" si="7"/>
        <v>'25',</v>
      </c>
      <c r="AG27" t="str">
        <f t="shared" si="8"/>
        <v>'15% din umiditate este folosita pentru crestere, 85% se pierde prin evaporare si transpiratie.'),</v>
      </c>
      <c r="AL27" s="25">
        <v>6.14</v>
      </c>
      <c r="AM27" s="25">
        <v>8.18</v>
      </c>
      <c r="AX27">
        <v>125</v>
      </c>
      <c r="AY27" t="s">
        <v>128</v>
      </c>
      <c r="AZ27" t="s">
        <v>129</v>
      </c>
      <c r="BA27" s="22">
        <v>0.21</v>
      </c>
      <c r="BB27" s="22">
        <v>0.4</v>
      </c>
      <c r="BD27">
        <v>25</v>
      </c>
      <c r="BE27" t="s">
        <v>130</v>
      </c>
    </row>
    <row r="28" spans="1:57" x14ac:dyDescent="0.35">
      <c r="A28" s="8"/>
      <c r="B28" s="8" t="s">
        <v>39</v>
      </c>
      <c r="C28" s="8" t="s">
        <v>68</v>
      </c>
      <c r="D28" s="8"/>
      <c r="F28" s="8"/>
      <c r="G28" s="8" t="s">
        <v>96</v>
      </c>
      <c r="H28" s="8"/>
      <c r="I28" s="8"/>
      <c r="S28">
        <v>121</v>
      </c>
      <c r="T28" t="s">
        <v>72</v>
      </c>
      <c r="U28">
        <v>2</v>
      </c>
      <c r="Y28" t="str">
        <f t="shared" si="0"/>
        <v>('126',</v>
      </c>
      <c r="Z28" t="str">
        <f t="shared" si="1"/>
        <v>'38°C',</v>
      </c>
      <c r="AA28" t="str">
        <f t="shared" si="2"/>
        <v>'44.9°C',</v>
      </c>
      <c r="AB28" s="22" t="str">
        <f t="shared" si="3"/>
        <v>'21%',</v>
      </c>
      <c r="AC28" s="22" t="str">
        <f t="shared" si="4"/>
        <v>'40%',</v>
      </c>
      <c r="AD28" s="28" t="str">
        <f t="shared" si="5"/>
        <v>'614',</v>
      </c>
      <c r="AE28" s="28" t="str">
        <f t="shared" si="6"/>
        <v>'818',</v>
      </c>
      <c r="AF28" t="str">
        <f t="shared" si="7"/>
        <v>'26',</v>
      </c>
      <c r="AG28" t="str">
        <f t="shared" si="8"/>
        <v>'15% din umiditate este folosita pentru crestere, 85% se pierde prin evaporare si transpiratie.'),</v>
      </c>
      <c r="AL28" s="25">
        <v>6.14</v>
      </c>
      <c r="AM28" s="25">
        <v>8.18</v>
      </c>
      <c r="AX28">
        <v>126</v>
      </c>
      <c r="AY28" t="s">
        <v>128</v>
      </c>
      <c r="AZ28" t="s">
        <v>129</v>
      </c>
      <c r="BA28" s="22">
        <v>0.21</v>
      </c>
      <c r="BB28" s="22">
        <v>0.4</v>
      </c>
      <c r="BD28">
        <v>26</v>
      </c>
      <c r="BE28" t="s">
        <v>130</v>
      </c>
    </row>
    <row r="29" spans="1:57" x14ac:dyDescent="0.35">
      <c r="A29" s="8"/>
      <c r="B29" s="8" t="s">
        <v>40</v>
      </c>
      <c r="C29" s="8" t="s">
        <v>69</v>
      </c>
      <c r="D29" s="8"/>
      <c r="F29" s="8"/>
      <c r="G29" s="8" t="s">
        <v>97</v>
      </c>
      <c r="H29" s="8"/>
      <c r="I29" s="8"/>
      <c r="S29">
        <v>122</v>
      </c>
      <c r="T29" t="s">
        <v>103</v>
      </c>
      <c r="U29">
        <v>2</v>
      </c>
      <c r="Y29" t="str">
        <f t="shared" si="0"/>
        <v>('127',</v>
      </c>
      <c r="Z29" t="str">
        <f t="shared" si="1"/>
        <v>'38°C',</v>
      </c>
      <c r="AA29" t="str">
        <f t="shared" si="2"/>
        <v>'44.9°C',</v>
      </c>
      <c r="AB29" s="22" t="str">
        <f t="shared" si="3"/>
        <v>'21%',</v>
      </c>
      <c r="AC29" s="22" t="str">
        <f t="shared" si="4"/>
        <v>'40%',</v>
      </c>
      <c r="AD29" s="28" t="str">
        <f t="shared" si="5"/>
        <v>'614',</v>
      </c>
      <c r="AE29" s="28" t="str">
        <f t="shared" si="6"/>
        <v>'818',</v>
      </c>
      <c r="AF29" t="str">
        <f t="shared" si="7"/>
        <v>'27',</v>
      </c>
      <c r="AG29" t="str">
        <f t="shared" si="8"/>
        <v>'15% din umiditate este folosita pentru crestere, 85% se pierde prin evaporare si transpiratie.'),</v>
      </c>
      <c r="AL29" s="25">
        <v>6.14</v>
      </c>
      <c r="AM29" s="25">
        <v>8.18</v>
      </c>
      <c r="AX29">
        <v>127</v>
      </c>
      <c r="AY29" t="s">
        <v>128</v>
      </c>
      <c r="AZ29" t="s">
        <v>129</v>
      </c>
      <c r="BA29" s="22">
        <v>0.21</v>
      </c>
      <c r="BB29" s="22">
        <v>0.4</v>
      </c>
      <c r="BD29">
        <v>27</v>
      </c>
      <c r="BE29" t="s">
        <v>130</v>
      </c>
    </row>
    <row r="30" spans="1:57" x14ac:dyDescent="0.35">
      <c r="A30" s="8"/>
      <c r="B30" s="8" t="s">
        <v>41</v>
      </c>
      <c r="C30" s="8" t="s">
        <v>53</v>
      </c>
      <c r="D30" s="8"/>
      <c r="F30" s="8"/>
      <c r="G30" s="8" t="s">
        <v>98</v>
      </c>
      <c r="H30" s="8"/>
      <c r="I30" s="8"/>
      <c r="S30">
        <v>123</v>
      </c>
      <c r="T30" t="s">
        <v>73</v>
      </c>
      <c r="U30">
        <v>2</v>
      </c>
      <c r="Y30" t="str">
        <f t="shared" si="0"/>
        <v>('128',</v>
      </c>
      <c r="Z30" t="str">
        <f t="shared" si="1"/>
        <v>'38°C',</v>
      </c>
      <c r="AA30" t="str">
        <f t="shared" si="2"/>
        <v>'44.9°C',</v>
      </c>
      <c r="AB30" s="22" t="str">
        <f t="shared" si="3"/>
        <v>'21%',</v>
      </c>
      <c r="AC30" s="22" t="str">
        <f t="shared" si="4"/>
        <v>'40%',</v>
      </c>
      <c r="AD30" s="28" t="str">
        <f t="shared" si="5"/>
        <v>'614',</v>
      </c>
      <c r="AE30" s="28" t="str">
        <f t="shared" si="6"/>
        <v>'818',</v>
      </c>
      <c r="AF30" t="str">
        <f t="shared" si="7"/>
        <v>'28',</v>
      </c>
      <c r="AG30" t="str">
        <f t="shared" si="8"/>
        <v>'15% din umiditate este folosita pentru crestere, 85% se pierde prin evaporare si transpiratie.'),</v>
      </c>
      <c r="AL30" s="25">
        <v>6.14</v>
      </c>
      <c r="AM30" s="25">
        <v>8.18</v>
      </c>
      <c r="AX30">
        <v>128</v>
      </c>
      <c r="AY30" t="s">
        <v>128</v>
      </c>
      <c r="AZ30" t="s">
        <v>129</v>
      </c>
      <c r="BA30" s="22">
        <v>0.21</v>
      </c>
      <c r="BB30" s="22">
        <v>0.4</v>
      </c>
      <c r="BD30">
        <v>28</v>
      </c>
      <c r="BE30" t="s">
        <v>130</v>
      </c>
    </row>
    <row r="31" spans="1:57" x14ac:dyDescent="0.35">
      <c r="A31" s="8"/>
      <c r="B31" s="8" t="s">
        <v>42</v>
      </c>
      <c r="C31" s="8" t="s">
        <v>54</v>
      </c>
      <c r="D31" s="8"/>
      <c r="F31" s="8"/>
      <c r="G31" s="8" t="s">
        <v>99</v>
      </c>
      <c r="H31" s="8"/>
      <c r="I31" s="8"/>
      <c r="S31">
        <v>124</v>
      </c>
      <c r="T31" t="s">
        <v>104</v>
      </c>
      <c r="U31">
        <v>2</v>
      </c>
      <c r="Y31" t="str">
        <f t="shared" si="0"/>
        <v>('129',</v>
      </c>
      <c r="Z31" t="str">
        <f t="shared" si="1"/>
        <v>'38°C',</v>
      </c>
      <c r="AA31" t="str">
        <f t="shared" si="2"/>
        <v>'44.9°C',</v>
      </c>
      <c r="AB31" s="22" t="str">
        <f t="shared" si="3"/>
        <v>'21%',</v>
      </c>
      <c r="AC31" s="22" t="str">
        <f t="shared" si="4"/>
        <v>'40%',</v>
      </c>
      <c r="AD31" s="28" t="str">
        <f t="shared" si="5"/>
        <v>'614',</v>
      </c>
      <c r="AE31" s="28" t="str">
        <f t="shared" si="6"/>
        <v>'818',</v>
      </c>
      <c r="AF31" t="str">
        <f t="shared" si="7"/>
        <v>'29',</v>
      </c>
      <c r="AG31" t="str">
        <f t="shared" si="8"/>
        <v>'15% din umiditate este folosita pentru crestere, 85% se pierde prin evaporare si transpiratie.'),</v>
      </c>
      <c r="AL31" s="25">
        <v>6.14</v>
      </c>
      <c r="AM31" s="25">
        <v>8.18</v>
      </c>
      <c r="AX31">
        <v>129</v>
      </c>
      <c r="AY31" t="s">
        <v>128</v>
      </c>
      <c r="AZ31" t="s">
        <v>129</v>
      </c>
      <c r="BA31" s="22">
        <v>0.21</v>
      </c>
      <c r="BB31" s="22">
        <v>0.4</v>
      </c>
      <c r="BD31">
        <v>29</v>
      </c>
      <c r="BE31" t="s">
        <v>130</v>
      </c>
    </row>
    <row r="32" spans="1:57" x14ac:dyDescent="0.35">
      <c r="A32" s="8"/>
      <c r="B32" s="8" t="s">
        <v>43</v>
      </c>
      <c r="C32" s="8" t="s">
        <v>55</v>
      </c>
      <c r="D32" s="8"/>
      <c r="F32" s="8"/>
      <c r="G32" s="8" t="s">
        <v>100</v>
      </c>
      <c r="H32" s="8"/>
      <c r="I32" s="8"/>
      <c r="S32">
        <v>125</v>
      </c>
      <c r="T32" t="s">
        <v>105</v>
      </c>
      <c r="U32">
        <v>2</v>
      </c>
      <c r="Y32" t="str">
        <f t="shared" si="0"/>
        <v>('130',</v>
      </c>
      <c r="Z32" t="str">
        <f t="shared" si="1"/>
        <v>'38°C',</v>
      </c>
      <c r="AA32" t="str">
        <f t="shared" si="2"/>
        <v>'44.9°C',</v>
      </c>
      <c r="AB32" s="22" t="str">
        <f t="shared" si="3"/>
        <v>'21%',</v>
      </c>
      <c r="AC32" s="22" t="str">
        <f t="shared" si="4"/>
        <v>'40%',</v>
      </c>
      <c r="AD32" s="28" t="str">
        <f t="shared" si="5"/>
        <v>'614',</v>
      </c>
      <c r="AE32" s="28" t="str">
        <f t="shared" si="6"/>
        <v>'818',</v>
      </c>
      <c r="AF32" t="str">
        <f t="shared" si="7"/>
        <v>'30',</v>
      </c>
      <c r="AG32" t="str">
        <f t="shared" si="8"/>
        <v>'15% din umiditate este folosita pentru crestere, 85% se pierde prin evaporare si transpiratie.'),</v>
      </c>
      <c r="AL32" s="25">
        <v>6.14</v>
      </c>
      <c r="AM32" s="25">
        <v>8.18</v>
      </c>
      <c r="AX32">
        <v>130</v>
      </c>
      <c r="AY32" t="s">
        <v>128</v>
      </c>
      <c r="AZ32" t="s">
        <v>129</v>
      </c>
      <c r="BA32" s="22">
        <v>0.21</v>
      </c>
      <c r="BB32" s="22">
        <v>0.4</v>
      </c>
      <c r="BD32">
        <v>30</v>
      </c>
      <c r="BE32" t="s">
        <v>130</v>
      </c>
    </row>
    <row r="33" spans="1:57" x14ac:dyDescent="0.35">
      <c r="A33" s="8"/>
      <c r="B33" s="8" t="s">
        <v>44</v>
      </c>
      <c r="C33" s="8"/>
      <c r="D33" s="8"/>
      <c r="F33" s="8"/>
      <c r="G33" s="8" t="s">
        <v>101</v>
      </c>
      <c r="H33" s="8"/>
      <c r="I33" s="8"/>
      <c r="S33">
        <v>126</v>
      </c>
      <c r="T33" t="s">
        <v>106</v>
      </c>
      <c r="U33">
        <v>2</v>
      </c>
      <c r="Y33" t="str">
        <f t="shared" si="0"/>
        <v>('131',</v>
      </c>
      <c r="Z33" t="str">
        <f t="shared" si="1"/>
        <v>'38°C',</v>
      </c>
      <c r="AA33" t="str">
        <f t="shared" si="2"/>
        <v>'44.9°C',</v>
      </c>
      <c r="AB33" s="22" t="str">
        <f t="shared" si="3"/>
        <v>'21%',</v>
      </c>
      <c r="AC33" s="22" t="str">
        <f t="shared" si="4"/>
        <v>'40%',</v>
      </c>
      <c r="AD33" s="28" t="str">
        <f t="shared" si="5"/>
        <v>'614',</v>
      </c>
      <c r="AE33" s="28" t="str">
        <f t="shared" si="6"/>
        <v>'818',</v>
      </c>
      <c r="AF33" t="str">
        <f t="shared" si="7"/>
        <v>'31',</v>
      </c>
      <c r="AG33" t="str">
        <f t="shared" si="8"/>
        <v>'15% din umiditate este folosita pentru crestere, 85% se pierde prin evaporare si transpiratie.'),</v>
      </c>
      <c r="AL33" s="25">
        <v>6.14</v>
      </c>
      <c r="AM33" s="25">
        <v>8.18</v>
      </c>
      <c r="AX33">
        <v>131</v>
      </c>
      <c r="AY33" t="s">
        <v>128</v>
      </c>
      <c r="AZ33" t="s">
        <v>129</v>
      </c>
      <c r="BA33" s="22">
        <v>0.21</v>
      </c>
      <c r="BB33" s="22">
        <v>0.4</v>
      </c>
      <c r="BD33">
        <v>31</v>
      </c>
      <c r="BE33" t="s">
        <v>130</v>
      </c>
    </row>
    <row r="34" spans="1:57" x14ac:dyDescent="0.35">
      <c r="A34" s="8"/>
      <c r="B34" s="8" t="s">
        <v>45</v>
      </c>
      <c r="C34" s="8"/>
      <c r="D34" s="8"/>
      <c r="F34" s="8"/>
      <c r="G34" s="8" t="s">
        <v>102</v>
      </c>
      <c r="H34" s="8"/>
      <c r="I34" s="8"/>
      <c r="S34">
        <v>127</v>
      </c>
      <c r="T34" t="s">
        <v>107</v>
      </c>
      <c r="U34">
        <v>2</v>
      </c>
      <c r="Y34" t="str">
        <f t="shared" si="0"/>
        <v>('132',</v>
      </c>
      <c r="Z34" t="str">
        <f t="shared" si="1"/>
        <v>'38°C',</v>
      </c>
      <c r="AA34" t="str">
        <f t="shared" si="2"/>
        <v>'44.9°C',</v>
      </c>
      <c r="AB34" s="22" t="str">
        <f t="shared" si="3"/>
        <v>'21%',</v>
      </c>
      <c r="AC34" s="22" t="str">
        <f t="shared" si="4"/>
        <v>'40%',</v>
      </c>
      <c r="AD34" s="28" t="str">
        <f t="shared" si="5"/>
        <v>'614',</v>
      </c>
      <c r="AE34" s="28" t="str">
        <f t="shared" si="6"/>
        <v>'818',</v>
      </c>
      <c r="AF34" t="str">
        <f t="shared" si="7"/>
        <v>'32',</v>
      </c>
      <c r="AG34" t="str">
        <f t="shared" si="8"/>
        <v>'15% din umiditate este folosita pentru crestere, 85% se pierde prin evaporare si transpiratie.'),</v>
      </c>
      <c r="AL34" s="25">
        <v>6.14</v>
      </c>
      <c r="AM34" s="25">
        <v>8.18</v>
      </c>
      <c r="AX34">
        <v>132</v>
      </c>
      <c r="AY34" t="s">
        <v>128</v>
      </c>
      <c r="AZ34" t="s">
        <v>129</v>
      </c>
      <c r="BA34" s="22">
        <v>0.21</v>
      </c>
      <c r="BB34" s="22">
        <v>0.4</v>
      </c>
      <c r="BD34">
        <v>32</v>
      </c>
      <c r="BE34" t="s">
        <v>130</v>
      </c>
    </row>
    <row r="35" spans="1:57" x14ac:dyDescent="0.35">
      <c r="A35" s="8"/>
      <c r="B35" s="8" t="s">
        <v>46</v>
      </c>
      <c r="C35" s="8"/>
      <c r="D35" s="8"/>
      <c r="F35" s="8"/>
      <c r="G35" s="8" t="s">
        <v>72</v>
      </c>
      <c r="H35" s="8"/>
      <c r="I35" s="8"/>
      <c r="S35">
        <v>128</v>
      </c>
      <c r="T35" t="s">
        <v>108</v>
      </c>
      <c r="U35">
        <v>2</v>
      </c>
      <c r="Y35" t="str">
        <f t="shared" si="0"/>
        <v>('133',</v>
      </c>
      <c r="Z35" t="str">
        <f t="shared" si="1"/>
        <v>'38°C',</v>
      </c>
      <c r="AA35" t="str">
        <f t="shared" si="2"/>
        <v>'44.9°C',</v>
      </c>
      <c r="AB35" s="22" t="str">
        <f t="shared" si="3"/>
        <v>'21%',</v>
      </c>
      <c r="AC35" s="22" t="str">
        <f t="shared" si="4"/>
        <v>'40%',</v>
      </c>
      <c r="AD35" s="28" t="str">
        <f t="shared" si="5"/>
        <v>'614',</v>
      </c>
      <c r="AE35" s="28" t="str">
        <f t="shared" si="6"/>
        <v>'818',</v>
      </c>
      <c r="AF35" t="str">
        <f t="shared" si="7"/>
        <v>'33',</v>
      </c>
      <c r="AG35" t="str">
        <f t="shared" si="8"/>
        <v>'15% din umiditate este folosita pentru crestere, 85% se pierde prin evaporare si transpiratie.'),</v>
      </c>
      <c r="AL35" s="25">
        <v>6.14</v>
      </c>
      <c r="AM35" s="25">
        <v>8.18</v>
      </c>
      <c r="AX35">
        <v>133</v>
      </c>
      <c r="AY35" t="s">
        <v>128</v>
      </c>
      <c r="AZ35" t="s">
        <v>129</v>
      </c>
      <c r="BA35" s="22">
        <v>0.21</v>
      </c>
      <c r="BB35" s="22">
        <v>0.4</v>
      </c>
      <c r="BD35">
        <v>33</v>
      </c>
      <c r="BE35" t="s">
        <v>130</v>
      </c>
    </row>
    <row r="36" spans="1:57" x14ac:dyDescent="0.35">
      <c r="A36" s="8"/>
      <c r="B36" s="8" t="s">
        <v>47</v>
      </c>
      <c r="C36" s="8"/>
      <c r="D36" s="8"/>
      <c r="F36" s="8"/>
      <c r="G36" s="8" t="s">
        <v>103</v>
      </c>
      <c r="H36" s="8"/>
      <c r="I36" s="8"/>
      <c r="S36">
        <v>129</v>
      </c>
      <c r="T36" t="s">
        <v>109</v>
      </c>
      <c r="U36">
        <v>2</v>
      </c>
      <c r="Y36" t="str">
        <f t="shared" si="0"/>
        <v>('134',</v>
      </c>
      <c r="Z36" t="str">
        <f t="shared" si="1"/>
        <v>'38°C',</v>
      </c>
      <c r="AA36" t="str">
        <f t="shared" si="2"/>
        <v>'44.9°C',</v>
      </c>
      <c r="AB36" s="22" t="str">
        <f t="shared" si="3"/>
        <v>'21%',</v>
      </c>
      <c r="AC36" s="22" t="str">
        <f t="shared" si="4"/>
        <v>'40%',</v>
      </c>
      <c r="AD36" s="28" t="str">
        <f t="shared" si="5"/>
        <v>'614',</v>
      </c>
      <c r="AE36" s="28" t="str">
        <f t="shared" si="6"/>
        <v>'818',</v>
      </c>
      <c r="AF36" t="str">
        <f t="shared" si="7"/>
        <v>'34',</v>
      </c>
      <c r="AG36" t="str">
        <f t="shared" si="8"/>
        <v>'15% din umiditate este folosita pentru crestere, 85% se pierde prin evaporare si transpiratie.'),</v>
      </c>
      <c r="AL36" s="25">
        <v>6.14</v>
      </c>
      <c r="AM36" s="25">
        <v>8.18</v>
      </c>
      <c r="AX36">
        <v>134</v>
      </c>
      <c r="AY36" t="s">
        <v>128</v>
      </c>
      <c r="AZ36" t="s">
        <v>129</v>
      </c>
      <c r="BA36" s="22">
        <v>0.21</v>
      </c>
      <c r="BB36" s="22">
        <v>0.4</v>
      </c>
      <c r="BD36">
        <v>34</v>
      </c>
      <c r="BE36" t="s">
        <v>130</v>
      </c>
    </row>
    <row r="37" spans="1:57" x14ac:dyDescent="0.35">
      <c r="A37" s="8"/>
      <c r="B37" s="8" t="s">
        <v>48</v>
      </c>
      <c r="C37" s="8"/>
      <c r="D37" s="8"/>
      <c r="F37" s="8"/>
      <c r="G37" s="8" t="s">
        <v>73</v>
      </c>
      <c r="H37" s="8"/>
      <c r="I37" s="8"/>
      <c r="S37">
        <v>13</v>
      </c>
      <c r="T37" t="s">
        <v>14</v>
      </c>
      <c r="U37">
        <v>1</v>
      </c>
      <c r="Y37" t="str">
        <f t="shared" si="0"/>
        <v>('135',</v>
      </c>
      <c r="Z37" t="str">
        <f t="shared" si="1"/>
        <v>'38°C',</v>
      </c>
      <c r="AA37" t="str">
        <f t="shared" si="2"/>
        <v>'44.9°C',</v>
      </c>
      <c r="AB37" s="22" t="str">
        <f t="shared" si="3"/>
        <v>'21%',</v>
      </c>
      <c r="AC37" s="22" t="str">
        <f t="shared" si="4"/>
        <v>'40%',</v>
      </c>
      <c r="AD37" s="28" t="str">
        <f t="shared" si="5"/>
        <v>'614',</v>
      </c>
      <c r="AE37" s="28" t="str">
        <f t="shared" si="6"/>
        <v>'818',</v>
      </c>
      <c r="AF37" t="str">
        <f t="shared" si="7"/>
        <v>'35',</v>
      </c>
      <c r="AG37" t="str">
        <f t="shared" si="8"/>
        <v>'15% din umiditate este folosita pentru crestere, 85% se pierde prin evaporare si transpiratie.'),</v>
      </c>
      <c r="AL37" s="25">
        <v>6.14</v>
      </c>
      <c r="AM37" s="25">
        <v>8.18</v>
      </c>
      <c r="AX37">
        <v>135</v>
      </c>
      <c r="AY37" t="s">
        <v>128</v>
      </c>
      <c r="AZ37" t="s">
        <v>129</v>
      </c>
      <c r="BA37" s="22">
        <v>0.21</v>
      </c>
      <c r="BB37" s="22">
        <v>0.4</v>
      </c>
      <c r="BD37">
        <v>35</v>
      </c>
      <c r="BE37" t="s">
        <v>130</v>
      </c>
    </row>
    <row r="38" spans="1:57" x14ac:dyDescent="0.35">
      <c r="A38" s="8"/>
      <c r="B38" s="8" t="s">
        <v>49</v>
      </c>
      <c r="C38" s="8"/>
      <c r="D38" s="8"/>
      <c r="F38" s="8"/>
      <c r="G38" s="8" t="s">
        <v>104</v>
      </c>
      <c r="H38" s="8"/>
      <c r="I38" s="8"/>
      <c r="S38">
        <v>130</v>
      </c>
      <c r="T38" t="s">
        <v>110</v>
      </c>
      <c r="U38">
        <v>2</v>
      </c>
      <c r="Y38" t="str">
        <f t="shared" si="0"/>
        <v>('136',</v>
      </c>
      <c r="Z38" t="str">
        <f t="shared" si="1"/>
        <v>'38°C',</v>
      </c>
      <c r="AA38" t="str">
        <f t="shared" si="2"/>
        <v>'44.9°C',</v>
      </c>
      <c r="AB38" s="22" t="str">
        <f t="shared" si="3"/>
        <v>'21%',</v>
      </c>
      <c r="AC38" s="22" t="str">
        <f t="shared" si="4"/>
        <v>'40%',</v>
      </c>
      <c r="AD38" s="28" t="str">
        <f t="shared" si="5"/>
        <v>'614',</v>
      </c>
      <c r="AE38" s="28" t="str">
        <f t="shared" si="6"/>
        <v>'818',</v>
      </c>
      <c r="AF38" t="str">
        <f t="shared" si="7"/>
        <v>'36',</v>
      </c>
      <c r="AG38" t="str">
        <f t="shared" si="8"/>
        <v>'15% din umiditate este folosita pentru crestere, 85% se pierde prin evaporare si transpiratie.'),</v>
      </c>
      <c r="AL38" s="25">
        <v>6.14</v>
      </c>
      <c r="AM38" s="25">
        <v>8.18</v>
      </c>
      <c r="AX38">
        <v>136</v>
      </c>
      <c r="AY38" t="s">
        <v>128</v>
      </c>
      <c r="AZ38" t="s">
        <v>129</v>
      </c>
      <c r="BA38" s="22">
        <v>0.21</v>
      </c>
      <c r="BB38" s="22">
        <v>0.4</v>
      </c>
      <c r="BD38">
        <v>36</v>
      </c>
      <c r="BE38" t="s">
        <v>130</v>
      </c>
    </row>
    <row r="39" spans="1:57" x14ac:dyDescent="0.35">
      <c r="A39" s="8"/>
      <c r="B39" s="8" t="s">
        <v>50</v>
      </c>
      <c r="C39" s="8"/>
      <c r="D39" s="8"/>
      <c r="F39" s="8"/>
      <c r="G39" s="8" t="s">
        <v>105</v>
      </c>
      <c r="H39" s="8"/>
      <c r="I39" s="8"/>
      <c r="S39">
        <v>131</v>
      </c>
      <c r="T39" t="s">
        <v>111</v>
      </c>
      <c r="U39">
        <v>2</v>
      </c>
      <c r="Y39" t="str">
        <f t="shared" si="0"/>
        <v>('137',</v>
      </c>
      <c r="Z39" t="str">
        <f t="shared" si="1"/>
        <v>'38°C',</v>
      </c>
      <c r="AA39" t="str">
        <f t="shared" si="2"/>
        <v>'44.9°C',</v>
      </c>
      <c r="AB39" s="22" t="str">
        <f t="shared" si="3"/>
        <v>'21%',</v>
      </c>
      <c r="AC39" s="22" t="str">
        <f t="shared" si="4"/>
        <v>'40%',</v>
      </c>
      <c r="AD39" s="28" t="str">
        <f t="shared" si="5"/>
        <v>'614',</v>
      </c>
      <c r="AE39" s="28" t="str">
        <f t="shared" si="6"/>
        <v>'818',</v>
      </c>
      <c r="AF39" t="str">
        <f t="shared" si="7"/>
        <v>'37',</v>
      </c>
      <c r="AG39" t="str">
        <f t="shared" si="8"/>
        <v>'15% din umiditate este folosita pentru crestere, 85% se pierde prin evaporare si transpiratie.'),</v>
      </c>
      <c r="AL39" s="25">
        <v>6.14</v>
      </c>
      <c r="AM39" s="25">
        <v>8.18</v>
      </c>
      <c r="AX39">
        <v>137</v>
      </c>
      <c r="AY39" t="s">
        <v>128</v>
      </c>
      <c r="AZ39" t="s">
        <v>129</v>
      </c>
      <c r="BA39" s="22">
        <v>0.21</v>
      </c>
      <c r="BB39" s="22">
        <v>0.4</v>
      </c>
      <c r="BD39">
        <v>37</v>
      </c>
      <c r="BE39" t="s">
        <v>130</v>
      </c>
    </row>
    <row r="40" spans="1:57" x14ac:dyDescent="0.35">
      <c r="A40" s="8"/>
      <c r="B40" s="8" t="s">
        <v>51</v>
      </c>
      <c r="C40" s="8"/>
      <c r="D40" s="8"/>
      <c r="F40" s="8"/>
      <c r="G40" s="8" t="s">
        <v>106</v>
      </c>
      <c r="H40" s="8"/>
      <c r="I40" s="8"/>
      <c r="S40">
        <v>132</v>
      </c>
      <c r="T40" t="s">
        <v>78</v>
      </c>
      <c r="U40">
        <v>2</v>
      </c>
      <c r="Y40" t="str">
        <f t="shared" si="0"/>
        <v>('138',</v>
      </c>
      <c r="Z40" t="str">
        <f t="shared" si="1"/>
        <v>'38°C',</v>
      </c>
      <c r="AA40" t="str">
        <f t="shared" si="2"/>
        <v>'44.9°C',</v>
      </c>
      <c r="AB40" s="22" t="str">
        <f t="shared" si="3"/>
        <v>'21%',</v>
      </c>
      <c r="AC40" s="22" t="str">
        <f t="shared" si="4"/>
        <v>'40%',</v>
      </c>
      <c r="AD40" s="28" t="str">
        <f t="shared" si="5"/>
        <v>'410',</v>
      </c>
      <c r="AE40" s="28" t="str">
        <f t="shared" si="6"/>
        <v>'613',</v>
      </c>
      <c r="AF40" t="str">
        <f t="shared" si="7"/>
        <v>'38',</v>
      </c>
      <c r="AG40" t="str">
        <f t="shared" si="8"/>
        <v>'15% din umiditate este folosita pentru crestere, 85% se pierde prin evaporare si transpiratie.'),</v>
      </c>
      <c r="AL40" s="25">
        <v>4.0999999999999996</v>
      </c>
      <c r="AM40" s="25">
        <v>6.13</v>
      </c>
      <c r="AX40">
        <v>138</v>
      </c>
      <c r="AY40" t="s">
        <v>128</v>
      </c>
      <c r="AZ40" t="s">
        <v>129</v>
      </c>
      <c r="BA40" s="22">
        <v>0.21</v>
      </c>
      <c r="BB40" s="22">
        <v>0.4</v>
      </c>
      <c r="BD40">
        <v>38</v>
      </c>
      <c r="BE40" t="s">
        <v>130</v>
      </c>
    </row>
    <row r="41" spans="1:57" x14ac:dyDescent="0.35">
      <c r="A41" s="8"/>
      <c r="B41" s="8" t="s">
        <v>52</v>
      </c>
      <c r="C41" s="8"/>
      <c r="D41" s="8"/>
      <c r="F41" s="8"/>
      <c r="G41" s="8" t="s">
        <v>107</v>
      </c>
      <c r="H41" s="8"/>
      <c r="I41" s="8"/>
      <c r="S41">
        <v>133</v>
      </c>
      <c r="T41" t="s">
        <v>112</v>
      </c>
      <c r="U41">
        <v>2</v>
      </c>
      <c r="Y41" t="str">
        <f t="shared" si="0"/>
        <v>('139',</v>
      </c>
      <c r="Z41" t="str">
        <f t="shared" si="1"/>
        <v>'38°C',</v>
      </c>
      <c r="AA41" t="str">
        <f t="shared" si="2"/>
        <v>'44.9°C',</v>
      </c>
      <c r="AB41" s="22" t="str">
        <f t="shared" si="3"/>
        <v>'21%',</v>
      </c>
      <c r="AC41" s="22" t="str">
        <f t="shared" si="4"/>
        <v>'40%',</v>
      </c>
      <c r="AD41" s="28" t="str">
        <f t="shared" si="5"/>
        <v>'410',</v>
      </c>
      <c r="AE41" s="28" t="str">
        <f t="shared" si="6"/>
        <v>'613',</v>
      </c>
      <c r="AF41" t="str">
        <f t="shared" si="7"/>
        <v>'39',</v>
      </c>
      <c r="AG41" t="str">
        <f t="shared" si="8"/>
        <v>'15% din umiditate este folosita pentru crestere, 85% se pierde prin evaporare si transpiratie.'),</v>
      </c>
      <c r="AL41" s="25">
        <v>4.0999999999999996</v>
      </c>
      <c r="AM41" s="25">
        <v>6.13</v>
      </c>
      <c r="AX41">
        <v>139</v>
      </c>
      <c r="AY41" t="s">
        <v>128</v>
      </c>
      <c r="AZ41" t="s">
        <v>129</v>
      </c>
      <c r="BA41" s="22">
        <v>0.21</v>
      </c>
      <c r="BB41" s="22">
        <v>0.4</v>
      </c>
      <c r="BD41">
        <v>39</v>
      </c>
      <c r="BE41" t="s">
        <v>130</v>
      </c>
    </row>
    <row r="42" spans="1:57" x14ac:dyDescent="0.35">
      <c r="A42" s="8"/>
      <c r="B42" s="8" t="s">
        <v>53</v>
      </c>
      <c r="C42" s="8"/>
      <c r="D42" s="8"/>
      <c r="F42" s="8"/>
      <c r="G42" s="8" t="s">
        <v>108</v>
      </c>
      <c r="H42" s="8"/>
      <c r="I42" s="8"/>
      <c r="S42">
        <v>134</v>
      </c>
      <c r="T42" t="s">
        <v>15</v>
      </c>
      <c r="U42">
        <v>2</v>
      </c>
      <c r="Y42" t="str">
        <f t="shared" si="0"/>
        <v>('140',</v>
      </c>
      <c r="Z42" t="str">
        <f t="shared" si="1"/>
        <v>'38°C',</v>
      </c>
      <c r="AA42" t="str">
        <f t="shared" si="2"/>
        <v>'44.9°C',</v>
      </c>
      <c r="AB42" s="22" t="str">
        <f t="shared" si="3"/>
        <v>'21%',</v>
      </c>
      <c r="AC42" s="22" t="str">
        <f t="shared" si="4"/>
        <v>'40%',</v>
      </c>
      <c r="AD42" s="28" t="str">
        <f t="shared" si="5"/>
        <v>'410',</v>
      </c>
      <c r="AE42" s="28" t="str">
        <f t="shared" si="6"/>
        <v>'613',</v>
      </c>
      <c r="AF42" t="str">
        <f t="shared" si="7"/>
        <v>'40',</v>
      </c>
      <c r="AG42" t="str">
        <f t="shared" si="8"/>
        <v>'15% din umiditate este folosita pentru crestere, 85% se pierde prin evaporare si transpiratie.'),</v>
      </c>
      <c r="AL42" s="25">
        <v>4.0999999999999996</v>
      </c>
      <c r="AM42" s="25">
        <v>6.13</v>
      </c>
      <c r="AX42">
        <v>140</v>
      </c>
      <c r="AY42" t="s">
        <v>128</v>
      </c>
      <c r="AZ42" t="s">
        <v>129</v>
      </c>
      <c r="BA42" s="22">
        <v>0.21</v>
      </c>
      <c r="BB42" s="22">
        <v>0.4</v>
      </c>
      <c r="BD42">
        <v>40</v>
      </c>
      <c r="BE42" t="s">
        <v>130</v>
      </c>
    </row>
    <row r="43" spans="1:57" x14ac:dyDescent="0.35">
      <c r="A43" s="8"/>
      <c r="B43" s="8" t="s">
        <v>54</v>
      </c>
      <c r="C43" s="8"/>
      <c r="D43" s="8"/>
      <c r="F43" s="8"/>
      <c r="G43" s="8" t="s">
        <v>109</v>
      </c>
      <c r="H43" s="8"/>
      <c r="I43" s="8"/>
      <c r="S43">
        <v>135</v>
      </c>
      <c r="T43" t="s">
        <v>17</v>
      </c>
      <c r="U43">
        <v>2</v>
      </c>
      <c r="Y43" t="str">
        <f t="shared" si="0"/>
        <v>('141',</v>
      </c>
      <c r="Z43" t="str">
        <f t="shared" si="1"/>
        <v>'38°C',</v>
      </c>
      <c r="AA43" t="str">
        <f t="shared" si="2"/>
        <v>'44.9°C',</v>
      </c>
      <c r="AB43" s="22" t="str">
        <f t="shared" si="3"/>
        <v>'21%',</v>
      </c>
      <c r="AC43" s="22" t="str">
        <f t="shared" si="4"/>
        <v>'40%',</v>
      </c>
      <c r="AD43" s="28" t="str">
        <f t="shared" si="5"/>
        <v>'410',</v>
      </c>
      <c r="AE43" s="28" t="str">
        <f t="shared" si="6"/>
        <v>'613',</v>
      </c>
      <c r="AF43" t="str">
        <f t="shared" si="7"/>
        <v>'41',</v>
      </c>
      <c r="AG43" t="str">
        <f t="shared" si="8"/>
        <v>'15% din umiditate este folosita pentru crestere, 85% se pierde prin evaporare si transpiratie.'),</v>
      </c>
      <c r="AL43" s="25">
        <v>4.0999999999999996</v>
      </c>
      <c r="AM43" s="25">
        <v>6.13</v>
      </c>
      <c r="AX43">
        <v>141</v>
      </c>
      <c r="AY43" t="s">
        <v>128</v>
      </c>
      <c r="AZ43" t="s">
        <v>129</v>
      </c>
      <c r="BA43" s="22">
        <v>0.21</v>
      </c>
      <c r="BB43" s="22">
        <v>0.4</v>
      </c>
      <c r="BD43">
        <v>41</v>
      </c>
      <c r="BE43" t="s">
        <v>130</v>
      </c>
    </row>
    <row r="44" spans="1:57" x14ac:dyDescent="0.35">
      <c r="A44" s="8"/>
      <c r="B44" s="8" t="s">
        <v>55</v>
      </c>
      <c r="C44" s="8"/>
      <c r="D44" s="8"/>
      <c r="F44" s="8"/>
      <c r="G44" s="8" t="s">
        <v>110</v>
      </c>
      <c r="H44" s="8"/>
      <c r="I44" s="8"/>
      <c r="S44">
        <v>136</v>
      </c>
      <c r="T44" t="s">
        <v>84</v>
      </c>
      <c r="U44">
        <v>2</v>
      </c>
      <c r="Y44" t="str">
        <f t="shared" si="0"/>
        <v>('142',</v>
      </c>
      <c r="Z44" t="str">
        <f t="shared" si="1"/>
        <v>'38°C',</v>
      </c>
      <c r="AA44" t="str">
        <f t="shared" si="2"/>
        <v>'44.9°C',</v>
      </c>
      <c r="AB44" s="22" t="str">
        <f t="shared" si="3"/>
        <v>'21%',</v>
      </c>
      <c r="AC44" s="22" t="str">
        <f t="shared" si="4"/>
        <v>'40%',</v>
      </c>
      <c r="AD44" s="28" t="str">
        <f t="shared" si="5"/>
        <v>'410',</v>
      </c>
      <c r="AE44" s="28" t="str">
        <f t="shared" si="6"/>
        <v>'613',</v>
      </c>
      <c r="AF44" t="str">
        <f t="shared" si="7"/>
        <v>'42',</v>
      </c>
      <c r="AG44" t="str">
        <f t="shared" si="8"/>
        <v>'15% din umiditate este folosita pentru crestere, 85% se pierde prin evaporare si transpiratie.'),</v>
      </c>
      <c r="AL44" s="25">
        <v>4.0999999999999996</v>
      </c>
      <c r="AM44" s="25">
        <v>6.13</v>
      </c>
      <c r="AX44">
        <v>142</v>
      </c>
      <c r="AY44" t="s">
        <v>128</v>
      </c>
      <c r="AZ44" t="s">
        <v>129</v>
      </c>
      <c r="BA44" s="22">
        <v>0.21</v>
      </c>
      <c r="BB44" s="22">
        <v>0.4</v>
      </c>
      <c r="BD44">
        <v>42</v>
      </c>
      <c r="BE44" t="s">
        <v>130</v>
      </c>
    </row>
    <row r="45" spans="1:57" x14ac:dyDescent="0.35">
      <c r="A45" s="8"/>
      <c r="B45" s="8" t="s">
        <v>56</v>
      </c>
      <c r="C45" s="8"/>
      <c r="D45" s="8"/>
      <c r="F45" s="8"/>
      <c r="G45" s="8" t="s">
        <v>111</v>
      </c>
      <c r="H45" s="8"/>
      <c r="I45" s="8"/>
      <c r="S45">
        <v>137</v>
      </c>
      <c r="T45" t="s">
        <v>113</v>
      </c>
      <c r="U45">
        <v>2</v>
      </c>
      <c r="Y45" t="str">
        <f t="shared" si="0"/>
        <v>('143',</v>
      </c>
      <c r="Z45" t="str">
        <f t="shared" si="1"/>
        <v>'38°C',</v>
      </c>
      <c r="AA45" t="str">
        <f t="shared" si="2"/>
        <v>'44.9°C',</v>
      </c>
      <c r="AB45" s="22" t="str">
        <f t="shared" si="3"/>
        <v>'21%',</v>
      </c>
      <c r="AC45" s="22" t="str">
        <f t="shared" si="4"/>
        <v>'40%',</v>
      </c>
      <c r="AD45" s="28" t="str">
        <f t="shared" si="5"/>
        <v>'410',</v>
      </c>
      <c r="AE45" s="28" t="str">
        <f t="shared" si="6"/>
        <v>'613',</v>
      </c>
      <c r="AF45" t="str">
        <f t="shared" si="7"/>
        <v>'43',</v>
      </c>
      <c r="AG45" t="str">
        <f t="shared" si="8"/>
        <v>'15% din umiditate este folosita pentru crestere, 85% se pierde prin evaporare si transpiratie.'),</v>
      </c>
      <c r="AL45" s="25">
        <v>4.0999999999999996</v>
      </c>
      <c r="AM45" s="25">
        <v>6.13</v>
      </c>
      <c r="AX45">
        <v>143</v>
      </c>
      <c r="AY45" t="s">
        <v>128</v>
      </c>
      <c r="AZ45" t="s">
        <v>129</v>
      </c>
      <c r="BA45" s="22">
        <v>0.21</v>
      </c>
      <c r="BB45" s="22">
        <v>0.4</v>
      </c>
      <c r="BD45">
        <v>43</v>
      </c>
      <c r="BE45" t="s">
        <v>130</v>
      </c>
    </row>
    <row r="46" spans="1:57" x14ac:dyDescent="0.35">
      <c r="A46" s="8"/>
      <c r="B46" s="8" t="s">
        <v>58</v>
      </c>
      <c r="C46" s="8"/>
      <c r="D46" s="8"/>
      <c r="S46">
        <v>138</v>
      </c>
      <c r="T46" t="s">
        <v>87</v>
      </c>
      <c r="U46">
        <v>2</v>
      </c>
      <c r="Y46" t="str">
        <f t="shared" si="0"/>
        <v>('144',</v>
      </c>
      <c r="Z46" t="str">
        <f t="shared" si="1"/>
        <v>'38°C',</v>
      </c>
      <c r="AA46" t="str">
        <f t="shared" si="2"/>
        <v>'44.9°C',</v>
      </c>
      <c r="AB46" s="22" t="str">
        <f t="shared" si="3"/>
        <v>'21%',</v>
      </c>
      <c r="AC46" s="22" t="str">
        <f t="shared" si="4"/>
        <v>'40%',</v>
      </c>
      <c r="AD46" s="28" t="str">
        <f t="shared" si="5"/>
        <v>'410',</v>
      </c>
      <c r="AE46" s="28" t="str">
        <f t="shared" si="6"/>
        <v>'613',</v>
      </c>
      <c r="AF46" t="str">
        <f t="shared" si="7"/>
        <v>'44',</v>
      </c>
      <c r="AG46" t="str">
        <f t="shared" si="8"/>
        <v>'15% din umiditate este folosita pentru crestere, 85% se pierde prin evaporare si transpiratie.'),</v>
      </c>
      <c r="AL46" s="25">
        <v>4.0999999999999996</v>
      </c>
      <c r="AM46" s="25">
        <v>6.13</v>
      </c>
      <c r="AX46">
        <v>144</v>
      </c>
      <c r="AY46" t="s">
        <v>128</v>
      </c>
      <c r="AZ46" t="s">
        <v>129</v>
      </c>
      <c r="BA46" s="22">
        <v>0.21</v>
      </c>
      <c r="BB46" s="22">
        <v>0.4</v>
      </c>
      <c r="BD46">
        <v>44</v>
      </c>
      <c r="BE46" t="s">
        <v>130</v>
      </c>
    </row>
    <row r="47" spans="1:57" x14ac:dyDescent="0.35">
      <c r="S47">
        <v>139</v>
      </c>
      <c r="T47" t="s">
        <v>74</v>
      </c>
      <c r="U47">
        <v>2</v>
      </c>
      <c r="Y47" t="str">
        <f t="shared" si="0"/>
        <v>('145',</v>
      </c>
      <c r="Z47" t="str">
        <f t="shared" si="1"/>
        <v>'38°C',</v>
      </c>
      <c r="AA47" t="str">
        <f t="shared" si="2"/>
        <v>'44.9°C',</v>
      </c>
      <c r="AB47" s="22" t="str">
        <f t="shared" si="3"/>
        <v>'21%',</v>
      </c>
      <c r="AC47" s="22" t="str">
        <f t="shared" si="4"/>
        <v>'40%',</v>
      </c>
      <c r="AD47" s="28" t="str">
        <f t="shared" si="5"/>
        <v>'410',</v>
      </c>
      <c r="AE47" s="28" t="str">
        <f t="shared" si="6"/>
        <v>'613',</v>
      </c>
      <c r="AF47" t="str">
        <f t="shared" si="7"/>
        <v>'45',</v>
      </c>
      <c r="AG47" t="str">
        <f t="shared" si="8"/>
        <v>'15% din umiditate este folosita pentru crestere, 85% se pierde prin evaporare si transpiratie.'),</v>
      </c>
      <c r="AL47" s="25">
        <v>4.0999999999999996</v>
      </c>
      <c r="AM47" s="25">
        <v>6.13</v>
      </c>
      <c r="AX47">
        <v>145</v>
      </c>
      <c r="AY47" t="s">
        <v>128</v>
      </c>
      <c r="AZ47" t="s">
        <v>129</v>
      </c>
      <c r="BA47" s="22">
        <v>0.21</v>
      </c>
      <c r="BB47" s="22">
        <v>0.4</v>
      </c>
      <c r="BD47">
        <v>45</v>
      </c>
      <c r="BE47" t="s">
        <v>130</v>
      </c>
    </row>
    <row r="48" spans="1:57" x14ac:dyDescent="0.35">
      <c r="S48">
        <v>14</v>
      </c>
      <c r="T48" t="s">
        <v>15</v>
      </c>
      <c r="U48">
        <v>1</v>
      </c>
      <c r="Y48" t="str">
        <f t="shared" si="0"/>
        <v>('146',</v>
      </c>
      <c r="Z48" t="str">
        <f t="shared" si="1"/>
        <v>'38°C',</v>
      </c>
      <c r="AA48" t="str">
        <f t="shared" si="2"/>
        <v>'44.9°C',</v>
      </c>
      <c r="AB48" s="22" t="str">
        <f t="shared" si="3"/>
        <v>'21%',</v>
      </c>
      <c r="AC48" s="22" t="str">
        <f t="shared" si="4"/>
        <v>'40%',</v>
      </c>
      <c r="AD48" s="28" t="str">
        <f t="shared" si="5"/>
        <v>'614',</v>
      </c>
      <c r="AE48" s="28" t="str">
        <f t="shared" si="6"/>
        <v>'818',</v>
      </c>
      <c r="AF48" t="str">
        <f t="shared" si="7"/>
        <v>'46',</v>
      </c>
      <c r="AG48" t="str">
        <f t="shared" si="8"/>
        <v>'15% din umiditate este folosita pentru crestere, 85% se pierde prin evaporare si transpiratie.'),</v>
      </c>
      <c r="AL48" s="25">
        <v>6.14</v>
      </c>
      <c r="AM48" s="25">
        <v>8.18</v>
      </c>
      <c r="AX48">
        <v>146</v>
      </c>
      <c r="AY48" t="s">
        <v>128</v>
      </c>
      <c r="AZ48" t="s">
        <v>129</v>
      </c>
      <c r="BA48" s="22">
        <v>0.21</v>
      </c>
      <c r="BB48" s="22">
        <v>0.4</v>
      </c>
      <c r="BD48">
        <v>46</v>
      </c>
      <c r="BE48" t="s">
        <v>130</v>
      </c>
    </row>
    <row r="49" spans="19:57" x14ac:dyDescent="0.35">
      <c r="S49">
        <v>140</v>
      </c>
      <c r="T49" t="s">
        <v>75</v>
      </c>
      <c r="U49">
        <v>2</v>
      </c>
      <c r="Y49" t="str">
        <f t="shared" si="0"/>
        <v>('147',</v>
      </c>
      <c r="Z49" t="str">
        <f t="shared" si="1"/>
        <v>'38°C',</v>
      </c>
      <c r="AA49" t="str">
        <f t="shared" si="2"/>
        <v>'44.9°C',</v>
      </c>
      <c r="AB49" s="22" t="str">
        <f t="shared" si="3"/>
        <v>'21%',</v>
      </c>
      <c r="AC49" s="22" t="str">
        <f t="shared" si="4"/>
        <v>'40%',</v>
      </c>
      <c r="AD49" s="28" t="str">
        <f t="shared" si="5"/>
        <v>'410',</v>
      </c>
      <c r="AE49" s="28" t="str">
        <f t="shared" si="6"/>
        <v>'613',</v>
      </c>
      <c r="AF49" t="str">
        <f t="shared" si="7"/>
        <v>'47',</v>
      </c>
      <c r="AG49" t="str">
        <f t="shared" si="8"/>
        <v>'15% din umiditate este folosita pentru crestere, 85% se pierde prin evaporare si transpiratie.'),</v>
      </c>
      <c r="AL49" s="25">
        <v>4.0999999999999996</v>
      </c>
      <c r="AM49" s="25">
        <v>6.13</v>
      </c>
      <c r="AX49">
        <v>147</v>
      </c>
      <c r="AY49" t="s">
        <v>128</v>
      </c>
      <c r="AZ49" t="s">
        <v>129</v>
      </c>
      <c r="BA49" s="22">
        <v>0.21</v>
      </c>
      <c r="BB49" s="22">
        <v>0.4</v>
      </c>
      <c r="BD49">
        <v>47</v>
      </c>
      <c r="BE49" t="s">
        <v>130</v>
      </c>
    </row>
    <row r="50" spans="19:57" x14ac:dyDescent="0.35">
      <c r="S50">
        <v>141</v>
      </c>
      <c r="T50" t="s">
        <v>19</v>
      </c>
      <c r="U50">
        <v>2</v>
      </c>
      <c r="Y50" t="str">
        <f t="shared" si="0"/>
        <v>('148',</v>
      </c>
      <c r="Z50" t="str">
        <f t="shared" si="1"/>
        <v>'38°C',</v>
      </c>
      <c r="AA50" t="str">
        <f t="shared" si="2"/>
        <v>'44.9°C',</v>
      </c>
      <c r="AB50" s="22" t="str">
        <f t="shared" si="3"/>
        <v>'21%',</v>
      </c>
      <c r="AC50" s="22" t="str">
        <f t="shared" si="4"/>
        <v>'40%',</v>
      </c>
      <c r="AD50" s="28" t="str">
        <f t="shared" si="5"/>
        <v>'410',</v>
      </c>
      <c r="AE50" s="28" t="str">
        <f t="shared" si="6"/>
        <v>'613',</v>
      </c>
      <c r="AF50" t="str">
        <f t="shared" si="7"/>
        <v>'48',</v>
      </c>
      <c r="AG50" t="str">
        <f t="shared" si="8"/>
        <v>'15% din umiditate este folosita pentru crestere, 85% se pierde prin evaporare si transpiratie.'),</v>
      </c>
      <c r="AL50" s="25">
        <v>4.0999999999999996</v>
      </c>
      <c r="AM50" s="25">
        <v>6.13</v>
      </c>
      <c r="AX50">
        <v>148</v>
      </c>
      <c r="AY50" t="s">
        <v>128</v>
      </c>
      <c r="AZ50" t="s">
        <v>129</v>
      </c>
      <c r="BA50" s="22">
        <v>0.21</v>
      </c>
      <c r="BB50" s="22">
        <v>0.4</v>
      </c>
      <c r="BD50">
        <v>48</v>
      </c>
      <c r="BE50" t="s">
        <v>130</v>
      </c>
    </row>
    <row r="51" spans="19:57" x14ac:dyDescent="0.35">
      <c r="S51">
        <v>142</v>
      </c>
      <c r="T51" t="s">
        <v>20</v>
      </c>
      <c r="U51">
        <v>2</v>
      </c>
      <c r="Y51" t="str">
        <f t="shared" si="0"/>
        <v>('149',</v>
      </c>
      <c r="Z51" t="str">
        <f t="shared" si="1"/>
        <v>'38°C',</v>
      </c>
      <c r="AA51" t="str">
        <f t="shared" si="2"/>
        <v>'44.9°C',</v>
      </c>
      <c r="AB51" s="22" t="str">
        <f t="shared" si="3"/>
        <v>'21%',</v>
      </c>
      <c r="AC51" s="22" t="str">
        <f t="shared" si="4"/>
        <v>'40%',</v>
      </c>
      <c r="AD51" s="28" t="str">
        <f t="shared" si="5"/>
        <v>'410',</v>
      </c>
      <c r="AE51" s="28" t="str">
        <f t="shared" si="6"/>
        <v>'613',</v>
      </c>
      <c r="AF51" t="str">
        <f t="shared" si="7"/>
        <v>'49',</v>
      </c>
      <c r="AG51" t="str">
        <f t="shared" si="8"/>
        <v>'15% din umiditate este folosita pentru crestere, 85% se pierde prin evaporare si transpiratie.'),</v>
      </c>
      <c r="AL51" s="25">
        <v>4.0999999999999996</v>
      </c>
      <c r="AM51" s="25">
        <v>6.13</v>
      </c>
      <c r="AX51">
        <v>149</v>
      </c>
      <c r="AY51" t="s">
        <v>128</v>
      </c>
      <c r="AZ51" t="s">
        <v>129</v>
      </c>
      <c r="BA51" s="22">
        <v>0.21</v>
      </c>
      <c r="BB51" s="22">
        <v>0.4</v>
      </c>
      <c r="BD51">
        <v>49</v>
      </c>
      <c r="BE51" t="s">
        <v>130</v>
      </c>
    </row>
    <row r="52" spans="19:57" x14ac:dyDescent="0.35">
      <c r="S52">
        <v>143</v>
      </c>
      <c r="T52" t="s">
        <v>21</v>
      </c>
      <c r="U52">
        <v>2</v>
      </c>
      <c r="Y52" t="str">
        <f t="shared" si="0"/>
        <v>('150',</v>
      </c>
      <c r="Z52" t="str">
        <f t="shared" si="1"/>
        <v>'32°C',</v>
      </c>
      <c r="AA52" t="str">
        <f t="shared" si="2"/>
        <v>'37.9°C',</v>
      </c>
      <c r="AB52" s="22" t="str">
        <f t="shared" si="3"/>
        <v>'41%',</v>
      </c>
      <c r="AC52" s="22" t="str">
        <f t="shared" si="4"/>
        <v>'60%',</v>
      </c>
      <c r="AD52" s="28" t="str">
        <f t="shared" si="5"/>
        <v>'410',</v>
      </c>
      <c r="AE52" s="28" t="str">
        <f t="shared" si="6"/>
        <v>'613',</v>
      </c>
      <c r="AF52" t="str">
        <f t="shared" si="7"/>
        <v>'50',</v>
      </c>
      <c r="AG52" t="str">
        <f t="shared" si="8"/>
        <v>'Cresterea plantelor incetineste.'),</v>
      </c>
      <c r="AL52" s="25">
        <v>4.0999999999999996</v>
      </c>
      <c r="AM52" s="25">
        <v>6.13</v>
      </c>
      <c r="AX52">
        <v>150</v>
      </c>
      <c r="AY52" t="s">
        <v>131</v>
      </c>
      <c r="AZ52" t="s">
        <v>132</v>
      </c>
      <c r="BA52" s="22">
        <v>0.41</v>
      </c>
      <c r="BB52" s="22">
        <v>0.6</v>
      </c>
      <c r="BD52">
        <v>50</v>
      </c>
      <c r="BE52" t="s">
        <v>133</v>
      </c>
    </row>
    <row r="53" spans="19:57" x14ac:dyDescent="0.35">
      <c r="S53">
        <v>144</v>
      </c>
      <c r="T53" t="s">
        <v>114</v>
      </c>
      <c r="U53">
        <v>2</v>
      </c>
      <c r="Y53" t="str">
        <f t="shared" si="0"/>
        <v>('151',</v>
      </c>
      <c r="Z53" t="str">
        <f t="shared" si="1"/>
        <v>'32°C',</v>
      </c>
      <c r="AA53" t="str">
        <f t="shared" si="2"/>
        <v>'37.9°C',</v>
      </c>
      <c r="AB53" s="22" t="str">
        <f t="shared" si="3"/>
        <v>'41%',</v>
      </c>
      <c r="AC53" s="22" t="str">
        <f t="shared" si="4"/>
        <v>'60%',</v>
      </c>
      <c r="AD53" s="28" t="str">
        <f t="shared" si="5"/>
        <v>'410',</v>
      </c>
      <c r="AE53" s="28" t="str">
        <f t="shared" si="6"/>
        <v>'613',</v>
      </c>
      <c r="AF53" t="str">
        <f t="shared" si="7"/>
        <v>'51',</v>
      </c>
      <c r="AG53" t="str">
        <f t="shared" si="8"/>
        <v>'Cresterea plantelor incetineste.'),</v>
      </c>
      <c r="AL53" s="25">
        <v>4.0999999999999996</v>
      </c>
      <c r="AM53" s="25">
        <v>6.13</v>
      </c>
      <c r="AX53">
        <v>151</v>
      </c>
      <c r="AY53" t="s">
        <v>131</v>
      </c>
      <c r="AZ53" t="s">
        <v>132</v>
      </c>
      <c r="BA53" s="22">
        <v>0.41</v>
      </c>
      <c r="BB53" s="22">
        <v>0.6</v>
      </c>
      <c r="BD53">
        <v>51</v>
      </c>
      <c r="BE53" t="s">
        <v>133</v>
      </c>
    </row>
    <row r="54" spans="19:57" x14ac:dyDescent="0.35">
      <c r="S54">
        <v>145</v>
      </c>
      <c r="T54" t="s">
        <v>115</v>
      </c>
      <c r="U54">
        <v>2</v>
      </c>
      <c r="Y54" t="str">
        <f t="shared" si="0"/>
        <v>('152',</v>
      </c>
      <c r="Z54" t="str">
        <f t="shared" si="1"/>
        <v>'32°C',</v>
      </c>
      <c r="AA54" t="str">
        <f t="shared" si="2"/>
        <v>'37.9°C',</v>
      </c>
      <c r="AB54" s="22" t="str">
        <f t="shared" si="3"/>
        <v>'41%',</v>
      </c>
      <c r="AC54" s="22" t="str">
        <f t="shared" si="4"/>
        <v>'60%',</v>
      </c>
      <c r="AD54" s="28" t="str">
        <f t="shared" si="5"/>
        <v>'410',</v>
      </c>
      <c r="AE54" s="28" t="str">
        <f t="shared" si="6"/>
        <v>'613',</v>
      </c>
      <c r="AF54" t="str">
        <f t="shared" si="7"/>
        <v>'52',</v>
      </c>
      <c r="AG54" t="str">
        <f t="shared" si="8"/>
        <v>'Cresterea plantelor incetineste.'),</v>
      </c>
      <c r="AL54" s="25">
        <v>4.0999999999999996</v>
      </c>
      <c r="AM54" s="25">
        <v>6.13</v>
      </c>
      <c r="AX54">
        <v>152</v>
      </c>
      <c r="AY54" t="s">
        <v>131</v>
      </c>
      <c r="AZ54" t="s">
        <v>132</v>
      </c>
      <c r="BA54" s="22">
        <v>0.41</v>
      </c>
      <c r="BB54" s="22">
        <v>0.6</v>
      </c>
      <c r="BD54">
        <v>52</v>
      </c>
      <c r="BE54" t="s">
        <v>133</v>
      </c>
    </row>
    <row r="55" spans="19:57" x14ac:dyDescent="0.35">
      <c r="S55">
        <v>146</v>
      </c>
      <c r="T55" t="s">
        <v>116</v>
      </c>
      <c r="U55">
        <v>2</v>
      </c>
      <c r="Y55" t="str">
        <f t="shared" si="0"/>
        <v>('153',</v>
      </c>
      <c r="Z55" t="str">
        <f t="shared" si="1"/>
        <v>'32°C',</v>
      </c>
      <c r="AA55" t="str">
        <f t="shared" si="2"/>
        <v>'37.9°C',</v>
      </c>
      <c r="AB55" s="22" t="str">
        <f t="shared" si="3"/>
        <v>'41%',</v>
      </c>
      <c r="AC55" s="22" t="str">
        <f t="shared" si="4"/>
        <v>'60%',</v>
      </c>
      <c r="AD55" s="28" t="str">
        <f t="shared" si="5"/>
        <v>'410',</v>
      </c>
      <c r="AE55" s="28" t="str">
        <f t="shared" si="6"/>
        <v>'613',</v>
      </c>
      <c r="AF55" t="str">
        <f t="shared" si="7"/>
        <v>'53',</v>
      </c>
      <c r="AG55" t="str">
        <f t="shared" si="8"/>
        <v>'Cresterea plantelor incetineste.'),</v>
      </c>
      <c r="AL55" s="25">
        <v>4.0999999999999996</v>
      </c>
      <c r="AM55" s="25">
        <v>6.13</v>
      </c>
      <c r="AX55">
        <v>153</v>
      </c>
      <c r="AY55" t="s">
        <v>131</v>
      </c>
      <c r="AZ55" t="s">
        <v>132</v>
      </c>
      <c r="BA55" s="22">
        <v>0.41</v>
      </c>
      <c r="BB55" s="22">
        <v>0.6</v>
      </c>
      <c r="BD55">
        <v>53</v>
      </c>
      <c r="BE55" t="s">
        <v>133</v>
      </c>
    </row>
    <row r="56" spans="19:57" x14ac:dyDescent="0.35">
      <c r="S56">
        <v>147</v>
      </c>
      <c r="T56" t="s">
        <v>105</v>
      </c>
      <c r="U56">
        <v>2</v>
      </c>
      <c r="Y56" t="str">
        <f t="shared" si="0"/>
        <v>('154',</v>
      </c>
      <c r="Z56" t="str">
        <f t="shared" si="1"/>
        <v>'32°C',</v>
      </c>
      <c r="AA56" t="str">
        <f t="shared" si="2"/>
        <v>'37.9°C',</v>
      </c>
      <c r="AB56" s="22" t="str">
        <f t="shared" si="3"/>
        <v>'41%',</v>
      </c>
      <c r="AC56" s="22" t="str">
        <f t="shared" si="4"/>
        <v>'60%',</v>
      </c>
      <c r="AD56" s="28" t="str">
        <f t="shared" si="5"/>
        <v>'410',</v>
      </c>
      <c r="AE56" s="28" t="str">
        <f t="shared" si="6"/>
        <v>'613',</v>
      </c>
      <c r="AF56" t="str">
        <f t="shared" si="7"/>
        <v>'54',</v>
      </c>
      <c r="AG56" t="str">
        <f t="shared" si="8"/>
        <v>'Cresterea plantelor incetineste.'),</v>
      </c>
      <c r="AL56" s="25">
        <v>4.0999999999999996</v>
      </c>
      <c r="AM56" s="25">
        <v>6.13</v>
      </c>
      <c r="AX56">
        <v>154</v>
      </c>
      <c r="AY56" t="s">
        <v>131</v>
      </c>
      <c r="AZ56" t="s">
        <v>132</v>
      </c>
      <c r="BA56" s="22">
        <v>0.41</v>
      </c>
      <c r="BB56" s="22">
        <v>0.6</v>
      </c>
      <c r="BD56">
        <v>54</v>
      </c>
      <c r="BE56" t="s">
        <v>133</v>
      </c>
    </row>
    <row r="57" spans="19:57" x14ac:dyDescent="0.35">
      <c r="S57">
        <v>148</v>
      </c>
      <c r="T57" t="s">
        <v>106</v>
      </c>
      <c r="U57">
        <v>2</v>
      </c>
      <c r="Y57" t="str">
        <f t="shared" si="0"/>
        <v>('155',</v>
      </c>
      <c r="Z57" t="str">
        <f t="shared" si="1"/>
        <v>'32°C',</v>
      </c>
      <c r="AA57" t="str">
        <f t="shared" si="2"/>
        <v>'37.9°C',</v>
      </c>
      <c r="AB57" s="22" t="str">
        <f t="shared" si="3"/>
        <v>'41%',</v>
      </c>
      <c r="AC57" s="22" t="str">
        <f t="shared" si="4"/>
        <v>'60%',</v>
      </c>
      <c r="AD57" s="28" t="str">
        <f t="shared" si="5"/>
        <v>'410',</v>
      </c>
      <c r="AE57" s="28" t="str">
        <f t="shared" si="6"/>
        <v>'613',</v>
      </c>
      <c r="AF57" t="str">
        <f t="shared" si="7"/>
        <v>'55',</v>
      </c>
      <c r="AG57" t="str">
        <f t="shared" si="8"/>
        <v>'Cresterea plantelor incetineste.'),</v>
      </c>
      <c r="AL57" s="25">
        <v>4.0999999999999996</v>
      </c>
      <c r="AM57" s="25">
        <v>6.13</v>
      </c>
      <c r="AX57">
        <v>155</v>
      </c>
      <c r="AY57" t="s">
        <v>131</v>
      </c>
      <c r="AZ57" t="s">
        <v>132</v>
      </c>
      <c r="BA57" s="22">
        <v>0.41</v>
      </c>
      <c r="BB57" s="22">
        <v>0.6</v>
      </c>
      <c r="BD57">
        <v>55</v>
      </c>
      <c r="BE57" t="s">
        <v>133</v>
      </c>
    </row>
    <row r="58" spans="19:57" x14ac:dyDescent="0.35">
      <c r="S58">
        <v>149</v>
      </c>
      <c r="T58" t="s">
        <v>110</v>
      </c>
      <c r="U58">
        <v>2</v>
      </c>
      <c r="Y58" t="str">
        <f t="shared" si="0"/>
        <v>('156',</v>
      </c>
      <c r="Z58" t="str">
        <f t="shared" si="1"/>
        <v>'32°C',</v>
      </c>
      <c r="AA58" t="str">
        <f t="shared" si="2"/>
        <v>'37.9°C',</v>
      </c>
      <c r="AB58" s="22" t="str">
        <f t="shared" si="3"/>
        <v>'41%',</v>
      </c>
      <c r="AC58" s="22" t="str">
        <f t="shared" si="4"/>
        <v>'60%',</v>
      </c>
      <c r="AD58" s="28" t="str">
        <f t="shared" si="5"/>
        <v>'410',</v>
      </c>
      <c r="AE58" s="28" t="str">
        <f t="shared" si="6"/>
        <v>'613',</v>
      </c>
      <c r="AF58" t="str">
        <f t="shared" si="7"/>
        <v>'56',</v>
      </c>
      <c r="AG58" t="str">
        <f t="shared" si="8"/>
        <v>'Cresterea plantelor incetineste.'),</v>
      </c>
      <c r="AL58" s="25">
        <v>4.0999999999999996</v>
      </c>
      <c r="AM58" s="25">
        <v>6.13</v>
      </c>
      <c r="AX58">
        <v>156</v>
      </c>
      <c r="AY58" t="s">
        <v>131</v>
      </c>
      <c r="AZ58" t="s">
        <v>132</v>
      </c>
      <c r="BA58" s="22">
        <v>0.41</v>
      </c>
      <c r="BB58" s="22">
        <v>0.6</v>
      </c>
      <c r="BD58">
        <v>56</v>
      </c>
      <c r="BE58" t="s">
        <v>133</v>
      </c>
    </row>
    <row r="59" spans="19:57" x14ac:dyDescent="0.35">
      <c r="S59">
        <v>15</v>
      </c>
      <c r="T59" t="s">
        <v>16</v>
      </c>
      <c r="U59">
        <v>1</v>
      </c>
      <c r="Y59" t="str">
        <f t="shared" si="0"/>
        <v>('157',</v>
      </c>
      <c r="Z59" t="str">
        <f t="shared" si="1"/>
        <v>'32°C',</v>
      </c>
      <c r="AA59" t="str">
        <f t="shared" si="2"/>
        <v>'37.9°C',</v>
      </c>
      <c r="AB59" s="22" t="str">
        <f t="shared" si="3"/>
        <v>'41%',</v>
      </c>
      <c r="AC59" s="22" t="str">
        <f t="shared" si="4"/>
        <v>'60%',</v>
      </c>
      <c r="AD59" s="28" t="str">
        <f t="shared" si="5"/>
        <v>'614',</v>
      </c>
      <c r="AE59" s="28" t="str">
        <f t="shared" si="6"/>
        <v>'818',</v>
      </c>
      <c r="AF59" t="str">
        <f t="shared" si="7"/>
        <v>'57',</v>
      </c>
      <c r="AG59" t="str">
        <f t="shared" si="8"/>
        <v>'Cresterea plantelor incetineste.'),</v>
      </c>
      <c r="AL59" s="25">
        <v>6.14</v>
      </c>
      <c r="AM59" s="25">
        <v>8.18</v>
      </c>
      <c r="AX59">
        <v>157</v>
      </c>
      <c r="AY59" t="s">
        <v>131</v>
      </c>
      <c r="AZ59" t="s">
        <v>132</v>
      </c>
      <c r="BA59" s="22">
        <v>0.41</v>
      </c>
      <c r="BB59" s="22">
        <v>0.6</v>
      </c>
      <c r="BD59">
        <v>57</v>
      </c>
      <c r="BE59" t="s">
        <v>133</v>
      </c>
    </row>
    <row r="60" spans="19:57" x14ac:dyDescent="0.35">
      <c r="S60">
        <v>150</v>
      </c>
      <c r="T60" t="s">
        <v>77</v>
      </c>
      <c r="U60">
        <v>2</v>
      </c>
      <c r="Y60" t="str">
        <f t="shared" si="0"/>
        <v>('158',</v>
      </c>
      <c r="Z60" t="str">
        <f t="shared" si="1"/>
        <v>'32°C',</v>
      </c>
      <c r="AA60" t="str">
        <f t="shared" si="2"/>
        <v>'37.9°C',</v>
      </c>
      <c r="AB60" s="22" t="str">
        <f t="shared" si="3"/>
        <v>'41%',</v>
      </c>
      <c r="AC60" s="22" t="str">
        <f t="shared" si="4"/>
        <v>'60%',</v>
      </c>
      <c r="AD60" s="28" t="str">
        <f t="shared" si="5"/>
        <v>'410',</v>
      </c>
      <c r="AE60" s="28" t="str">
        <f t="shared" si="6"/>
        <v>'613',</v>
      </c>
      <c r="AF60" t="str">
        <f t="shared" si="7"/>
        <v>'58',</v>
      </c>
      <c r="AG60" t="str">
        <f t="shared" si="8"/>
        <v>'Cresterea plantelor incetineste.'),</v>
      </c>
      <c r="AL60" s="25">
        <v>4.0999999999999996</v>
      </c>
      <c r="AM60" s="25">
        <v>6.13</v>
      </c>
      <c r="AX60">
        <v>158</v>
      </c>
      <c r="AY60" t="s">
        <v>131</v>
      </c>
      <c r="AZ60" t="s">
        <v>132</v>
      </c>
      <c r="BA60" s="22">
        <v>0.41</v>
      </c>
      <c r="BB60" s="22">
        <v>0.6</v>
      </c>
      <c r="BD60">
        <v>58</v>
      </c>
      <c r="BE60" t="s">
        <v>133</v>
      </c>
    </row>
    <row r="61" spans="19:57" x14ac:dyDescent="0.35">
      <c r="S61">
        <v>151</v>
      </c>
      <c r="T61" t="s">
        <v>117</v>
      </c>
      <c r="U61">
        <v>2</v>
      </c>
      <c r="Y61" t="str">
        <f t="shared" si="0"/>
        <v>('159',</v>
      </c>
      <c r="Z61" t="str">
        <f t="shared" si="1"/>
        <v>'32°C',</v>
      </c>
      <c r="AA61" t="str">
        <f t="shared" si="2"/>
        <v>'37.9°C',</v>
      </c>
      <c r="AB61" s="22" t="str">
        <f t="shared" si="3"/>
        <v>'41%',</v>
      </c>
      <c r="AC61" s="22" t="str">
        <f t="shared" si="4"/>
        <v>'60%',</v>
      </c>
      <c r="AD61" s="28" t="str">
        <f t="shared" si="5"/>
        <v>'410',</v>
      </c>
      <c r="AE61" s="28" t="str">
        <f t="shared" si="6"/>
        <v>'613',</v>
      </c>
      <c r="AF61" t="str">
        <f t="shared" si="7"/>
        <v>'59',</v>
      </c>
      <c r="AG61" t="str">
        <f t="shared" si="8"/>
        <v>'Cresterea plantelor incetineste.'),</v>
      </c>
      <c r="AL61" s="25">
        <v>4.0999999999999996</v>
      </c>
      <c r="AM61" s="25">
        <v>6.13</v>
      </c>
      <c r="AX61">
        <v>159</v>
      </c>
      <c r="AY61" t="s">
        <v>131</v>
      </c>
      <c r="AZ61" t="s">
        <v>132</v>
      </c>
      <c r="BA61" s="22">
        <v>0.41</v>
      </c>
      <c r="BB61" s="22">
        <v>0.6</v>
      </c>
      <c r="BD61">
        <v>59</v>
      </c>
      <c r="BE61" t="s">
        <v>133</v>
      </c>
    </row>
    <row r="62" spans="19:57" x14ac:dyDescent="0.35">
      <c r="S62">
        <v>152</v>
      </c>
      <c r="T62" t="s">
        <v>22</v>
      </c>
      <c r="U62">
        <v>2</v>
      </c>
      <c r="Y62" t="str">
        <f t="shared" si="0"/>
        <v>('160',</v>
      </c>
      <c r="Z62" t="str">
        <f t="shared" si="1"/>
        <v>'32°C',</v>
      </c>
      <c r="AA62" t="str">
        <f t="shared" si="2"/>
        <v>'37.9°C',</v>
      </c>
      <c r="AB62" s="22" t="str">
        <f t="shared" si="3"/>
        <v>'41%',</v>
      </c>
      <c r="AC62" s="22" t="str">
        <f t="shared" si="4"/>
        <v>'60%',</v>
      </c>
      <c r="AD62" s="28" t="str">
        <f t="shared" si="5"/>
        <v>'410',</v>
      </c>
      <c r="AE62" s="28" t="str">
        <f t="shared" si="6"/>
        <v>'613',</v>
      </c>
      <c r="AF62" t="str">
        <f t="shared" si="7"/>
        <v>'60',</v>
      </c>
      <c r="AG62" t="str">
        <f t="shared" si="8"/>
        <v>'Cresterea plantelor incetineste.'),</v>
      </c>
      <c r="AL62" s="25">
        <v>4.0999999999999996</v>
      </c>
      <c r="AM62" s="25">
        <v>6.13</v>
      </c>
      <c r="AX62">
        <v>160</v>
      </c>
      <c r="AY62" t="s">
        <v>131</v>
      </c>
      <c r="AZ62" t="s">
        <v>132</v>
      </c>
      <c r="BA62" s="22">
        <v>0.41</v>
      </c>
      <c r="BB62" s="22">
        <v>0.6</v>
      </c>
      <c r="BD62">
        <v>60</v>
      </c>
      <c r="BE62" t="s">
        <v>133</v>
      </c>
    </row>
    <row r="63" spans="19:57" x14ac:dyDescent="0.35">
      <c r="S63">
        <v>153</v>
      </c>
      <c r="T63" t="s">
        <v>15</v>
      </c>
      <c r="U63">
        <v>2</v>
      </c>
      <c r="Y63" t="str">
        <f t="shared" si="0"/>
        <v>('161',</v>
      </c>
      <c r="Z63" t="str">
        <f t="shared" si="1"/>
        <v>'32°C',</v>
      </c>
      <c r="AA63" t="str">
        <f t="shared" si="2"/>
        <v>'37.9°C',</v>
      </c>
      <c r="AB63" s="22" t="str">
        <f t="shared" si="3"/>
        <v>'41%',</v>
      </c>
      <c r="AC63" s="22" t="str">
        <f t="shared" si="4"/>
        <v>'60%',</v>
      </c>
      <c r="AD63" s="28" t="str">
        <f t="shared" si="5"/>
        <v>'205',</v>
      </c>
      <c r="AE63" s="28" t="str">
        <f t="shared" si="6"/>
        <v>'409',</v>
      </c>
      <c r="AF63" t="str">
        <f t="shared" si="7"/>
        <v>'61',</v>
      </c>
      <c r="AG63" t="str">
        <f t="shared" si="8"/>
        <v>'Cresterea plantelor incetineste.'),</v>
      </c>
      <c r="AL63" s="25">
        <v>2.0499999999999998</v>
      </c>
      <c r="AM63" s="25">
        <v>4.09</v>
      </c>
      <c r="AX63">
        <v>161</v>
      </c>
      <c r="AY63" t="s">
        <v>131</v>
      </c>
      <c r="AZ63" t="s">
        <v>132</v>
      </c>
      <c r="BA63" s="22">
        <v>0.41</v>
      </c>
      <c r="BB63" s="22">
        <v>0.6</v>
      </c>
      <c r="BD63">
        <v>61</v>
      </c>
      <c r="BE63" t="s">
        <v>133</v>
      </c>
    </row>
    <row r="64" spans="19:57" x14ac:dyDescent="0.35">
      <c r="S64">
        <v>154</v>
      </c>
      <c r="T64" t="s">
        <v>74</v>
      </c>
      <c r="U64">
        <v>2</v>
      </c>
      <c r="Y64" t="str">
        <f t="shared" si="0"/>
        <v>('162',</v>
      </c>
      <c r="Z64" t="str">
        <f t="shared" si="1"/>
        <v>'32°C',</v>
      </c>
      <c r="AA64" t="str">
        <f t="shared" si="2"/>
        <v>'37.9°C',</v>
      </c>
      <c r="AB64" s="22" t="str">
        <f t="shared" si="3"/>
        <v>'41%',</v>
      </c>
      <c r="AC64" s="22" t="str">
        <f t="shared" si="4"/>
        <v>'60%',</v>
      </c>
      <c r="AD64" s="28" t="str">
        <f t="shared" si="5"/>
        <v>'205',</v>
      </c>
      <c r="AE64" s="28" t="str">
        <f t="shared" si="6"/>
        <v>'409',</v>
      </c>
      <c r="AF64" t="str">
        <f t="shared" si="7"/>
        <v>'62',</v>
      </c>
      <c r="AG64" t="str">
        <f t="shared" si="8"/>
        <v>'Cresterea plantelor incetineste.'),</v>
      </c>
      <c r="AL64" s="25">
        <v>2.0499999999999998</v>
      </c>
      <c r="AM64" s="25">
        <v>4.09</v>
      </c>
      <c r="AX64">
        <v>162</v>
      </c>
      <c r="AY64" t="s">
        <v>131</v>
      </c>
      <c r="AZ64" t="s">
        <v>132</v>
      </c>
      <c r="BA64" s="22">
        <v>0.41</v>
      </c>
      <c r="BB64" s="22">
        <v>0.6</v>
      </c>
      <c r="BD64">
        <v>62</v>
      </c>
      <c r="BE64" t="s">
        <v>133</v>
      </c>
    </row>
    <row r="65" spans="19:57" x14ac:dyDescent="0.35">
      <c r="S65">
        <v>155</v>
      </c>
      <c r="T65" t="s">
        <v>75</v>
      </c>
      <c r="U65">
        <v>2</v>
      </c>
      <c r="Y65" t="str">
        <f t="shared" si="0"/>
        <v>('163',</v>
      </c>
      <c r="Z65" t="str">
        <f t="shared" si="1"/>
        <v>'32°C',</v>
      </c>
      <c r="AA65" t="str">
        <f t="shared" si="2"/>
        <v>'37.9°C',</v>
      </c>
      <c r="AB65" s="22" t="str">
        <f t="shared" si="3"/>
        <v>'41%',</v>
      </c>
      <c r="AC65" s="22" t="str">
        <f t="shared" si="4"/>
        <v>'60%',</v>
      </c>
      <c r="AD65" s="28" t="str">
        <f t="shared" si="5"/>
        <v>'205',</v>
      </c>
      <c r="AE65" s="28" t="str">
        <f t="shared" si="6"/>
        <v>'409',</v>
      </c>
      <c r="AF65" t="str">
        <f t="shared" si="7"/>
        <v>'63',</v>
      </c>
      <c r="AG65" t="str">
        <f t="shared" si="8"/>
        <v>'Cresterea plantelor incetineste.'),</v>
      </c>
      <c r="AL65" s="25">
        <v>2.0499999999999998</v>
      </c>
      <c r="AM65" s="25">
        <v>4.09</v>
      </c>
      <c r="AX65">
        <v>163</v>
      </c>
      <c r="AY65" t="s">
        <v>131</v>
      </c>
      <c r="AZ65" t="s">
        <v>132</v>
      </c>
      <c r="BA65" s="22">
        <v>0.41</v>
      </c>
      <c r="BB65" s="22">
        <v>0.6</v>
      </c>
      <c r="BD65">
        <v>63</v>
      </c>
      <c r="BE65" t="s">
        <v>133</v>
      </c>
    </row>
    <row r="66" spans="19:57" x14ac:dyDescent="0.35">
      <c r="S66">
        <v>156</v>
      </c>
      <c r="T66" t="s">
        <v>19</v>
      </c>
      <c r="U66">
        <v>2</v>
      </c>
      <c r="Y66" t="str">
        <f t="shared" si="0"/>
        <v>('164',</v>
      </c>
      <c r="Z66" t="str">
        <f t="shared" si="1"/>
        <v>'32°C',</v>
      </c>
      <c r="AA66" t="str">
        <f t="shared" si="2"/>
        <v>'37.9°C',</v>
      </c>
      <c r="AB66" s="22" t="str">
        <f t="shared" si="3"/>
        <v>'41%',</v>
      </c>
      <c r="AC66" s="22" t="str">
        <f t="shared" si="4"/>
        <v>'60%',</v>
      </c>
      <c r="AD66" s="28" t="str">
        <f t="shared" si="5"/>
        <v>'205',</v>
      </c>
      <c r="AE66" s="28" t="str">
        <f t="shared" si="6"/>
        <v>'409',</v>
      </c>
      <c r="AF66" t="str">
        <f t="shared" si="7"/>
        <v>'64',</v>
      </c>
      <c r="AG66" t="str">
        <f t="shared" si="8"/>
        <v>'Cresterea plantelor incetineste.'),</v>
      </c>
      <c r="AL66" s="25">
        <v>2.0499999999999998</v>
      </c>
      <c r="AM66" s="25">
        <v>4.09</v>
      </c>
      <c r="AX66">
        <v>164</v>
      </c>
      <c r="AY66" t="s">
        <v>131</v>
      </c>
      <c r="AZ66" t="s">
        <v>132</v>
      </c>
      <c r="BA66" s="22">
        <v>0.41</v>
      </c>
      <c r="BB66" s="22">
        <v>0.6</v>
      </c>
      <c r="BD66">
        <v>64</v>
      </c>
      <c r="BE66" t="s">
        <v>133</v>
      </c>
    </row>
    <row r="67" spans="19:57" x14ac:dyDescent="0.35">
      <c r="S67">
        <v>157</v>
      </c>
      <c r="T67" t="s">
        <v>76</v>
      </c>
      <c r="U67">
        <v>2</v>
      </c>
      <c r="Y67" t="str">
        <f t="shared" si="0"/>
        <v>('165',</v>
      </c>
      <c r="Z67" t="str">
        <f t="shared" si="1"/>
        <v>'32°C',</v>
      </c>
      <c r="AA67" t="str">
        <f t="shared" si="2"/>
        <v>'37.9°C',</v>
      </c>
      <c r="AB67" s="22" t="str">
        <f t="shared" si="3"/>
        <v>'41%',</v>
      </c>
      <c r="AC67" s="22" t="str">
        <f t="shared" si="4"/>
        <v>'60%',</v>
      </c>
      <c r="AD67" s="28" t="str">
        <f t="shared" si="5"/>
        <v>'205',</v>
      </c>
      <c r="AE67" s="28" t="str">
        <f t="shared" si="6"/>
        <v>'409',</v>
      </c>
      <c r="AF67" t="str">
        <f t="shared" si="7"/>
        <v>'65',</v>
      </c>
      <c r="AG67" t="str">
        <f t="shared" si="8"/>
        <v>'Cresterea plantelor incetineste.'),</v>
      </c>
      <c r="AL67" s="25">
        <v>2.0499999999999998</v>
      </c>
      <c r="AM67" s="25">
        <v>4.09</v>
      </c>
      <c r="AX67">
        <v>165</v>
      </c>
      <c r="AY67" t="s">
        <v>131</v>
      </c>
      <c r="AZ67" t="s">
        <v>132</v>
      </c>
      <c r="BA67" s="22">
        <v>0.41</v>
      </c>
      <c r="BB67" s="22">
        <v>0.6</v>
      </c>
      <c r="BD67">
        <v>65</v>
      </c>
      <c r="BE67" t="s">
        <v>133</v>
      </c>
    </row>
    <row r="68" spans="19:57" x14ac:dyDescent="0.35">
      <c r="S68">
        <v>158</v>
      </c>
      <c r="T68" t="s">
        <v>77</v>
      </c>
      <c r="U68">
        <v>2</v>
      </c>
      <c r="Y68" t="str">
        <f t="shared" ref="Y68:Y131" si="9" xml:space="preserve"> "("&amp;"'"&amp;AX68 &amp;"'"&amp;","</f>
        <v>('166',</v>
      </c>
      <c r="Z68" t="str">
        <f t="shared" ref="Z68:Z131" si="10" xml:space="preserve"> "'"&amp;AY68&amp;"'"&amp;","</f>
        <v>'32°C',</v>
      </c>
      <c r="AA68" t="str">
        <f t="shared" ref="AA68:AA131" si="11" xml:space="preserve"> "'"&amp;AZ68&amp;"'"&amp;","</f>
        <v>'37.9°C',</v>
      </c>
      <c r="AB68" s="22" t="str">
        <f t="shared" ref="AB68:AB131" si="12" xml:space="preserve"> "'"&amp;BA68*100&amp;"%"&amp;"'"&amp;","</f>
        <v>'41%',</v>
      </c>
      <c r="AC68" s="22" t="str">
        <f t="shared" ref="AC68:AC131" si="13" xml:space="preserve"> "'"&amp;BB68*100&amp;"%"&amp;"'"&amp;","</f>
        <v>'60%',</v>
      </c>
      <c r="AD68" s="28" t="str">
        <f t="shared" ref="AD68:AD131" si="14" xml:space="preserve"> "'"&amp;AL68 *100&amp;"'"&amp;","</f>
        <v>'205',</v>
      </c>
      <c r="AE68" s="28" t="str">
        <f t="shared" ref="AE68:AE131" si="15" xml:space="preserve"> "'"&amp;AM68 *100&amp;"'"&amp;","</f>
        <v>'409',</v>
      </c>
      <c r="AF68" t="str">
        <f t="shared" ref="AF68:AF131" si="16" xml:space="preserve"> "'"&amp;BD68&amp;"'"&amp;","</f>
        <v>'66',</v>
      </c>
      <c r="AG68" t="str">
        <f t="shared" ref="AG68:AG131" si="17" xml:space="preserve"> "'"&amp;BE68&amp;"'"&amp;")"&amp;","</f>
        <v>'Cresterea plantelor incetineste.'),</v>
      </c>
      <c r="AL68" s="25">
        <v>2.0499999999999998</v>
      </c>
      <c r="AM68" s="25">
        <v>4.09</v>
      </c>
      <c r="AX68">
        <v>166</v>
      </c>
      <c r="AY68" t="s">
        <v>131</v>
      </c>
      <c r="AZ68" t="s">
        <v>132</v>
      </c>
      <c r="BA68" s="22">
        <v>0.41</v>
      </c>
      <c r="BB68" s="22">
        <v>0.6</v>
      </c>
      <c r="BD68">
        <v>66</v>
      </c>
      <c r="BE68" t="s">
        <v>133</v>
      </c>
    </row>
    <row r="69" spans="19:57" x14ac:dyDescent="0.35">
      <c r="S69">
        <v>159</v>
      </c>
      <c r="T69" t="s">
        <v>22</v>
      </c>
      <c r="U69">
        <v>2</v>
      </c>
      <c r="Y69" t="str">
        <f t="shared" si="9"/>
        <v>('167',</v>
      </c>
      <c r="Z69" t="str">
        <f t="shared" si="10"/>
        <v>'32°C',</v>
      </c>
      <c r="AA69" t="str">
        <f t="shared" si="11"/>
        <v>'37.9°C',</v>
      </c>
      <c r="AB69" s="22" t="str">
        <f t="shared" si="12"/>
        <v>'41%',</v>
      </c>
      <c r="AC69" s="22" t="str">
        <f t="shared" si="13"/>
        <v>'60%',</v>
      </c>
      <c r="AD69" s="28" t="str">
        <f t="shared" si="14"/>
        <v>'205',</v>
      </c>
      <c r="AE69" s="28" t="str">
        <f t="shared" si="15"/>
        <v>'409',</v>
      </c>
      <c r="AF69" t="str">
        <f t="shared" si="16"/>
        <v>'67',</v>
      </c>
      <c r="AG69" t="str">
        <f t="shared" si="17"/>
        <v>'Cresterea plantelor incetineste.'),</v>
      </c>
      <c r="AL69" s="25">
        <v>2.0499999999999998</v>
      </c>
      <c r="AM69" s="25">
        <v>4.09</v>
      </c>
      <c r="AX69">
        <v>167</v>
      </c>
      <c r="AY69" t="s">
        <v>131</v>
      </c>
      <c r="AZ69" t="s">
        <v>132</v>
      </c>
      <c r="BA69" s="22">
        <v>0.41</v>
      </c>
      <c r="BB69" s="22">
        <v>0.6</v>
      </c>
      <c r="BD69">
        <v>67</v>
      </c>
      <c r="BE69" t="s">
        <v>133</v>
      </c>
    </row>
    <row r="70" spans="19:57" x14ac:dyDescent="0.35">
      <c r="S70">
        <v>16</v>
      </c>
      <c r="T70" t="s">
        <v>18</v>
      </c>
      <c r="U70">
        <v>1</v>
      </c>
      <c r="Y70" t="str">
        <f t="shared" si="9"/>
        <v>('168',</v>
      </c>
      <c r="Z70" t="str">
        <f t="shared" si="10"/>
        <v>'32°C',</v>
      </c>
      <c r="AA70" t="str">
        <f t="shared" si="11"/>
        <v>'37.9°C',</v>
      </c>
      <c r="AB70" s="22" t="str">
        <f t="shared" si="12"/>
        <v>'41%',</v>
      </c>
      <c r="AC70" s="22" t="str">
        <f t="shared" si="13"/>
        <v>'60%',</v>
      </c>
      <c r="AD70" s="28" t="str">
        <f t="shared" si="14"/>
        <v>'614',</v>
      </c>
      <c r="AE70" s="28" t="str">
        <f t="shared" si="15"/>
        <v>'818',</v>
      </c>
      <c r="AF70" t="str">
        <f t="shared" si="16"/>
        <v>'68',</v>
      </c>
      <c r="AG70" t="str">
        <f t="shared" si="17"/>
        <v>'Cresterea plantelor incetineste.'),</v>
      </c>
      <c r="AL70" s="25">
        <v>6.14</v>
      </c>
      <c r="AM70" s="25">
        <v>8.18</v>
      </c>
      <c r="AX70">
        <v>168</v>
      </c>
      <c r="AY70" t="s">
        <v>131</v>
      </c>
      <c r="AZ70" t="s">
        <v>132</v>
      </c>
      <c r="BA70" s="22">
        <v>0.41</v>
      </c>
      <c r="BB70" s="22">
        <v>0.6</v>
      </c>
      <c r="BD70">
        <v>68</v>
      </c>
      <c r="BE70" t="s">
        <v>133</v>
      </c>
    </row>
    <row r="71" spans="19:57" x14ac:dyDescent="0.35">
      <c r="S71">
        <v>160</v>
      </c>
      <c r="T71" t="s">
        <v>23</v>
      </c>
      <c r="U71">
        <v>3</v>
      </c>
      <c r="Y71" t="str">
        <f t="shared" si="9"/>
        <v>('169',</v>
      </c>
      <c r="Z71" t="str">
        <f t="shared" si="10"/>
        <v>'32°C',</v>
      </c>
      <c r="AA71" t="str">
        <f t="shared" si="11"/>
        <v>'37.9°C',</v>
      </c>
      <c r="AB71" s="22" t="str">
        <f t="shared" si="12"/>
        <v>'41%',</v>
      </c>
      <c r="AC71" s="22" t="str">
        <f t="shared" si="13"/>
        <v>'60%',</v>
      </c>
      <c r="AD71" s="28" t="str">
        <f t="shared" si="14"/>
        <v>'614',</v>
      </c>
      <c r="AE71" s="28" t="str">
        <f t="shared" si="15"/>
        <v>'818',</v>
      </c>
      <c r="AF71" t="str">
        <f t="shared" si="16"/>
        <v>'69',</v>
      </c>
      <c r="AG71" t="str">
        <f t="shared" si="17"/>
        <v>'Cresterea plantelor incetineste.'),</v>
      </c>
      <c r="AL71" s="25">
        <v>6.14</v>
      </c>
      <c r="AM71" s="25">
        <v>8.18</v>
      </c>
      <c r="AX71">
        <v>169</v>
      </c>
      <c r="AY71" t="s">
        <v>131</v>
      </c>
      <c r="AZ71" t="s">
        <v>132</v>
      </c>
      <c r="BA71" s="22">
        <v>0.41</v>
      </c>
      <c r="BB71" s="22">
        <v>0.6</v>
      </c>
      <c r="BD71">
        <v>69</v>
      </c>
      <c r="BE71" t="s">
        <v>133</v>
      </c>
    </row>
    <row r="72" spans="19:57" x14ac:dyDescent="0.35">
      <c r="S72">
        <v>161</v>
      </c>
      <c r="T72" t="s">
        <v>24</v>
      </c>
      <c r="U72">
        <v>3</v>
      </c>
      <c r="Y72" t="str">
        <f t="shared" si="9"/>
        <v>('170',</v>
      </c>
      <c r="Z72" t="str">
        <f t="shared" si="10"/>
        <v>'32°C',</v>
      </c>
      <c r="AA72" t="str">
        <f t="shared" si="11"/>
        <v>'37.9°C',</v>
      </c>
      <c r="AB72" s="22" t="str">
        <f t="shared" si="12"/>
        <v>'41%',</v>
      </c>
      <c r="AC72" s="22" t="str">
        <f t="shared" si="13"/>
        <v>'60%',</v>
      </c>
      <c r="AD72" s="28" t="str">
        <f t="shared" si="14"/>
        <v>'614',</v>
      </c>
      <c r="AE72" s="28" t="str">
        <f t="shared" si="15"/>
        <v>'818',</v>
      </c>
      <c r="AF72" t="str">
        <f t="shared" si="16"/>
        <v>'70',</v>
      </c>
      <c r="AG72" t="str">
        <f t="shared" si="17"/>
        <v>'Cresterea plantelor incetineste.'),</v>
      </c>
      <c r="AL72" s="25">
        <v>6.14</v>
      </c>
      <c r="AM72" s="25">
        <v>8.18</v>
      </c>
      <c r="AX72">
        <v>170</v>
      </c>
      <c r="AY72" t="s">
        <v>131</v>
      </c>
      <c r="AZ72" t="s">
        <v>132</v>
      </c>
      <c r="BA72" s="22">
        <v>0.41</v>
      </c>
      <c r="BB72" s="22">
        <v>0.6</v>
      </c>
      <c r="BD72">
        <v>70</v>
      </c>
      <c r="BE72" t="s">
        <v>133</v>
      </c>
    </row>
    <row r="73" spans="19:57" x14ac:dyDescent="0.35">
      <c r="S73">
        <v>162</v>
      </c>
      <c r="T73" t="s">
        <v>25</v>
      </c>
      <c r="U73">
        <v>3</v>
      </c>
      <c r="Y73" t="str">
        <f t="shared" si="9"/>
        <v>('171',</v>
      </c>
      <c r="Z73" t="str">
        <f t="shared" si="10"/>
        <v>'32°C',</v>
      </c>
      <c r="AA73" t="str">
        <f t="shared" si="11"/>
        <v>'37.9°C',</v>
      </c>
      <c r="AB73" s="22" t="str">
        <f t="shared" si="12"/>
        <v>'41%',</v>
      </c>
      <c r="AC73" s="22" t="str">
        <f t="shared" si="13"/>
        <v>'60%',</v>
      </c>
      <c r="AD73" s="28" t="str">
        <f t="shared" si="14"/>
        <v>'614',</v>
      </c>
      <c r="AE73" s="28" t="str">
        <f t="shared" si="15"/>
        <v>'818',</v>
      </c>
      <c r="AF73" t="str">
        <f t="shared" si="16"/>
        <v>'71',</v>
      </c>
      <c r="AG73" t="str">
        <f t="shared" si="17"/>
        <v>'Cresterea plantelor incetineste.'),</v>
      </c>
      <c r="AL73" s="25">
        <v>6.14</v>
      </c>
      <c r="AM73" s="25">
        <v>8.18</v>
      </c>
      <c r="AX73">
        <v>171</v>
      </c>
      <c r="AY73" t="s">
        <v>131</v>
      </c>
      <c r="AZ73" t="s">
        <v>132</v>
      </c>
      <c r="BA73" s="22">
        <v>0.41</v>
      </c>
      <c r="BB73" s="22">
        <v>0.6</v>
      </c>
      <c r="BD73">
        <v>71</v>
      </c>
      <c r="BE73" t="s">
        <v>133</v>
      </c>
    </row>
    <row r="74" spans="19:57" x14ac:dyDescent="0.35">
      <c r="S74">
        <v>163</v>
      </c>
      <c r="T74" t="s">
        <v>26</v>
      </c>
      <c r="U74">
        <v>3</v>
      </c>
      <c r="Y74" t="str">
        <f t="shared" si="9"/>
        <v>('172',</v>
      </c>
      <c r="Z74" t="str">
        <f t="shared" si="10"/>
        <v>'32°C',</v>
      </c>
      <c r="AA74" t="str">
        <f t="shared" si="11"/>
        <v>'37.9°C',</v>
      </c>
      <c r="AB74" s="22" t="str">
        <f t="shared" si="12"/>
        <v>'41%',</v>
      </c>
      <c r="AC74" s="22" t="str">
        <f t="shared" si="13"/>
        <v>'60%',</v>
      </c>
      <c r="AD74" s="28" t="str">
        <f t="shared" si="14"/>
        <v>'614',</v>
      </c>
      <c r="AE74" s="28" t="str">
        <f t="shared" si="15"/>
        <v>'818',</v>
      </c>
      <c r="AF74" t="str">
        <f t="shared" si="16"/>
        <v>'72',</v>
      </c>
      <c r="AG74" t="str">
        <f t="shared" si="17"/>
        <v>'Cresterea plantelor incetineste.'),</v>
      </c>
      <c r="AL74" s="25">
        <v>6.14</v>
      </c>
      <c r="AM74" s="25">
        <v>8.18</v>
      </c>
      <c r="AX74">
        <v>172</v>
      </c>
      <c r="AY74" t="s">
        <v>131</v>
      </c>
      <c r="AZ74" t="s">
        <v>132</v>
      </c>
      <c r="BA74" s="22">
        <v>0.41</v>
      </c>
      <c r="BB74" s="22">
        <v>0.6</v>
      </c>
      <c r="BD74">
        <v>72</v>
      </c>
      <c r="BE74" t="s">
        <v>133</v>
      </c>
    </row>
    <row r="75" spans="19:57" x14ac:dyDescent="0.35">
      <c r="S75">
        <v>164</v>
      </c>
      <c r="T75" t="s">
        <v>27</v>
      </c>
      <c r="U75">
        <v>3</v>
      </c>
      <c r="Y75" t="str">
        <f t="shared" si="9"/>
        <v>('173',</v>
      </c>
      <c r="Z75" t="str">
        <f t="shared" si="10"/>
        <v>'32°C',</v>
      </c>
      <c r="AA75" t="str">
        <f t="shared" si="11"/>
        <v>'37.9°C',</v>
      </c>
      <c r="AB75" s="22" t="str">
        <f t="shared" si="12"/>
        <v>'41%',</v>
      </c>
      <c r="AC75" s="22" t="str">
        <f t="shared" si="13"/>
        <v>'60%',</v>
      </c>
      <c r="AD75" s="28" t="str">
        <f t="shared" si="14"/>
        <v>'614',</v>
      </c>
      <c r="AE75" s="28" t="str">
        <f t="shared" si="15"/>
        <v>'818',</v>
      </c>
      <c r="AF75" t="str">
        <f t="shared" si="16"/>
        <v>'73',</v>
      </c>
      <c r="AG75" t="str">
        <f t="shared" si="17"/>
        <v>'Cresterea plantelor incetineste.'),</v>
      </c>
      <c r="AL75" s="25">
        <v>6.14</v>
      </c>
      <c r="AM75" s="25">
        <v>8.18</v>
      </c>
      <c r="AX75">
        <v>173</v>
      </c>
      <c r="AY75" t="s">
        <v>131</v>
      </c>
      <c r="AZ75" t="s">
        <v>132</v>
      </c>
      <c r="BA75" s="22">
        <v>0.41</v>
      </c>
      <c r="BB75" s="22">
        <v>0.6</v>
      </c>
      <c r="BD75">
        <v>73</v>
      </c>
      <c r="BE75" t="s">
        <v>133</v>
      </c>
    </row>
    <row r="76" spans="19:57" x14ac:dyDescent="0.35">
      <c r="S76">
        <v>165</v>
      </c>
      <c r="T76" t="s">
        <v>28</v>
      </c>
      <c r="U76">
        <v>3</v>
      </c>
      <c r="Y76" t="str">
        <f t="shared" si="9"/>
        <v>('174',</v>
      </c>
      <c r="Z76" t="str">
        <f t="shared" si="10"/>
        <v>'32°C',</v>
      </c>
      <c r="AA76" t="str">
        <f t="shared" si="11"/>
        <v>'37.9°C',</v>
      </c>
      <c r="AB76" s="22" t="str">
        <f t="shared" si="12"/>
        <v>'41%',</v>
      </c>
      <c r="AC76" s="22" t="str">
        <f t="shared" si="13"/>
        <v>'60%',</v>
      </c>
      <c r="AD76" s="28" t="str">
        <f t="shared" si="14"/>
        <v>'614',</v>
      </c>
      <c r="AE76" s="28" t="str">
        <f t="shared" si="15"/>
        <v>'818',</v>
      </c>
      <c r="AF76" t="str">
        <f t="shared" si="16"/>
        <v>'74',</v>
      </c>
      <c r="AG76" t="str">
        <f t="shared" si="17"/>
        <v>'Cresterea plantelor incetineste.'),</v>
      </c>
      <c r="AL76" s="25">
        <v>6.14</v>
      </c>
      <c r="AM76" s="25">
        <v>8.18</v>
      </c>
      <c r="AX76">
        <v>174</v>
      </c>
      <c r="AY76" t="s">
        <v>131</v>
      </c>
      <c r="AZ76" t="s">
        <v>132</v>
      </c>
      <c r="BA76" s="22">
        <v>0.41</v>
      </c>
      <c r="BB76" s="22">
        <v>0.6</v>
      </c>
      <c r="BD76">
        <v>74</v>
      </c>
      <c r="BE76" t="s">
        <v>133</v>
      </c>
    </row>
    <row r="77" spans="19:57" x14ac:dyDescent="0.35">
      <c r="S77">
        <v>166</v>
      </c>
      <c r="T77" t="s">
        <v>121</v>
      </c>
      <c r="U77">
        <v>3</v>
      </c>
      <c r="Y77" t="str">
        <f t="shared" si="9"/>
        <v>('175',</v>
      </c>
      <c r="Z77" t="str">
        <f t="shared" si="10"/>
        <v>'32°C',</v>
      </c>
      <c r="AA77" t="str">
        <f t="shared" si="11"/>
        <v>'37.9°C',</v>
      </c>
      <c r="AB77" s="22" t="str">
        <f t="shared" si="12"/>
        <v>'41%',</v>
      </c>
      <c r="AC77" s="22" t="str">
        <f t="shared" si="13"/>
        <v>'60%',</v>
      </c>
      <c r="AD77" s="28" t="str">
        <f t="shared" si="14"/>
        <v>'614',</v>
      </c>
      <c r="AE77" s="28" t="str">
        <f t="shared" si="15"/>
        <v>'818',</v>
      </c>
      <c r="AF77" t="str">
        <f t="shared" si="16"/>
        <v>'75',</v>
      </c>
      <c r="AG77" t="str">
        <f t="shared" si="17"/>
        <v>'Cresterea plantelor incetineste.'),</v>
      </c>
      <c r="AL77" s="25">
        <v>6.14</v>
      </c>
      <c r="AM77" s="25">
        <v>8.18</v>
      </c>
      <c r="AX77">
        <v>175</v>
      </c>
      <c r="AY77" t="s">
        <v>131</v>
      </c>
      <c r="AZ77" t="s">
        <v>132</v>
      </c>
      <c r="BA77" s="22">
        <v>0.41</v>
      </c>
      <c r="BB77" s="22">
        <v>0.6</v>
      </c>
      <c r="BD77">
        <v>75</v>
      </c>
      <c r="BE77" t="s">
        <v>133</v>
      </c>
    </row>
    <row r="78" spans="19:57" x14ac:dyDescent="0.35">
      <c r="S78">
        <v>167</v>
      </c>
      <c r="T78" t="s">
        <v>30</v>
      </c>
      <c r="U78">
        <v>3</v>
      </c>
      <c r="Y78" t="str">
        <f t="shared" si="9"/>
        <v>('176',</v>
      </c>
      <c r="Z78" t="str">
        <f t="shared" si="10"/>
        <v>'32°C',</v>
      </c>
      <c r="AA78" t="str">
        <f t="shared" si="11"/>
        <v>'37.9°C',</v>
      </c>
      <c r="AB78" s="22" t="str">
        <f t="shared" si="12"/>
        <v>'41%',</v>
      </c>
      <c r="AC78" s="22" t="str">
        <f t="shared" si="13"/>
        <v>'60%',</v>
      </c>
      <c r="AD78" s="28" t="str">
        <f t="shared" si="14"/>
        <v>'614',</v>
      </c>
      <c r="AE78" s="28" t="str">
        <f t="shared" si="15"/>
        <v>'818',</v>
      </c>
      <c r="AF78" t="str">
        <f t="shared" si="16"/>
        <v>'76',</v>
      </c>
      <c r="AG78" t="str">
        <f t="shared" si="17"/>
        <v>'Cresterea plantelor incetineste.'),</v>
      </c>
      <c r="AL78" s="25">
        <v>6.14</v>
      </c>
      <c r="AM78" s="25">
        <v>8.18</v>
      </c>
      <c r="AX78">
        <v>176</v>
      </c>
      <c r="AY78" t="s">
        <v>131</v>
      </c>
      <c r="AZ78" t="s">
        <v>132</v>
      </c>
      <c r="BA78" s="22">
        <v>0.41</v>
      </c>
      <c r="BB78" s="22">
        <v>0.6</v>
      </c>
      <c r="BD78">
        <v>76</v>
      </c>
      <c r="BE78" t="s">
        <v>133</v>
      </c>
    </row>
    <row r="79" spans="19:57" x14ac:dyDescent="0.35">
      <c r="S79">
        <v>168</v>
      </c>
      <c r="T79" t="s">
        <v>23</v>
      </c>
      <c r="U79">
        <v>3</v>
      </c>
      <c r="Y79" t="str">
        <f t="shared" si="9"/>
        <v>('177',</v>
      </c>
      <c r="Z79" t="str">
        <f t="shared" si="10"/>
        <v>'32°C',</v>
      </c>
      <c r="AA79" t="str">
        <f t="shared" si="11"/>
        <v>'37.9°C',</v>
      </c>
      <c r="AB79" s="22" t="str">
        <f t="shared" si="12"/>
        <v>'41%',</v>
      </c>
      <c r="AC79" s="22" t="str">
        <f t="shared" si="13"/>
        <v>'60%',</v>
      </c>
      <c r="AD79" s="28" t="str">
        <f t="shared" si="14"/>
        <v>'410',</v>
      </c>
      <c r="AE79" s="28" t="str">
        <f t="shared" si="15"/>
        <v>'613',</v>
      </c>
      <c r="AF79" t="str">
        <f t="shared" si="16"/>
        <v>'77',</v>
      </c>
      <c r="AG79" t="str">
        <f t="shared" si="17"/>
        <v>'Cresterea plantelor incetineste.'),</v>
      </c>
      <c r="AL79" s="25">
        <v>4.0999999999999996</v>
      </c>
      <c r="AM79" s="25">
        <v>6.13</v>
      </c>
      <c r="AX79">
        <v>177</v>
      </c>
      <c r="AY79" t="s">
        <v>131</v>
      </c>
      <c r="AZ79" t="s">
        <v>132</v>
      </c>
      <c r="BA79" s="22">
        <v>0.41</v>
      </c>
      <c r="BB79" s="22">
        <v>0.6</v>
      </c>
      <c r="BD79">
        <v>77</v>
      </c>
      <c r="BE79" t="s">
        <v>133</v>
      </c>
    </row>
    <row r="80" spans="19:57" x14ac:dyDescent="0.35">
      <c r="S80">
        <v>169</v>
      </c>
      <c r="T80" t="s">
        <v>24</v>
      </c>
      <c r="U80">
        <v>3</v>
      </c>
      <c r="Y80" t="str">
        <f t="shared" si="9"/>
        <v>('178',</v>
      </c>
      <c r="Z80" t="str">
        <f t="shared" si="10"/>
        <v>'32°C',</v>
      </c>
      <c r="AA80" t="str">
        <f t="shared" si="11"/>
        <v>'37.9°C',</v>
      </c>
      <c r="AB80" s="22" t="str">
        <f t="shared" si="12"/>
        <v>'41%',</v>
      </c>
      <c r="AC80" s="22" t="str">
        <f t="shared" si="13"/>
        <v>'60%',</v>
      </c>
      <c r="AD80" s="28" t="str">
        <f t="shared" si="14"/>
        <v>'410',</v>
      </c>
      <c r="AE80" s="28" t="str">
        <f t="shared" si="15"/>
        <v>'613',</v>
      </c>
      <c r="AF80" t="str">
        <f t="shared" si="16"/>
        <v>'78',</v>
      </c>
      <c r="AG80" t="str">
        <f t="shared" si="17"/>
        <v>'Cresterea plantelor incetineste.'),</v>
      </c>
      <c r="AL80" s="25">
        <v>4.0999999999999996</v>
      </c>
      <c r="AM80" s="25">
        <v>6.13</v>
      </c>
      <c r="AX80">
        <v>178</v>
      </c>
      <c r="AY80" t="s">
        <v>131</v>
      </c>
      <c r="AZ80" t="s">
        <v>132</v>
      </c>
      <c r="BA80" s="22">
        <v>0.41</v>
      </c>
      <c r="BB80" s="22">
        <v>0.6</v>
      </c>
      <c r="BD80">
        <v>78</v>
      </c>
      <c r="BE80" t="s">
        <v>133</v>
      </c>
    </row>
    <row r="81" spans="19:57" x14ac:dyDescent="0.35">
      <c r="S81">
        <v>17</v>
      </c>
      <c r="T81" t="s">
        <v>19</v>
      </c>
      <c r="U81">
        <v>1</v>
      </c>
      <c r="Y81" t="str">
        <f t="shared" si="9"/>
        <v>('179',</v>
      </c>
      <c r="Z81" t="str">
        <f t="shared" si="10"/>
        <v>'32°C',</v>
      </c>
      <c r="AA81" t="str">
        <f t="shared" si="11"/>
        <v>'37.9°C',</v>
      </c>
      <c r="AB81" s="22" t="str">
        <f t="shared" si="12"/>
        <v>'41%',</v>
      </c>
      <c r="AC81" s="22" t="str">
        <f t="shared" si="13"/>
        <v>'60%',</v>
      </c>
      <c r="AD81" s="28" t="str">
        <f t="shared" si="14"/>
        <v>'614',</v>
      </c>
      <c r="AE81" s="28" t="str">
        <f t="shared" si="15"/>
        <v>'818',</v>
      </c>
      <c r="AF81" t="str">
        <f t="shared" si="16"/>
        <v>'79',</v>
      </c>
      <c r="AG81" t="str">
        <f t="shared" si="17"/>
        <v>'Cresterea plantelor incetineste.'),</v>
      </c>
      <c r="AL81" s="25">
        <v>6.14</v>
      </c>
      <c r="AM81" s="25">
        <v>8.18</v>
      </c>
      <c r="AX81">
        <v>179</v>
      </c>
      <c r="AY81" t="s">
        <v>131</v>
      </c>
      <c r="AZ81" t="s">
        <v>132</v>
      </c>
      <c r="BA81" s="22">
        <v>0.41</v>
      </c>
      <c r="BB81" s="22">
        <v>0.6</v>
      </c>
      <c r="BD81">
        <v>79</v>
      </c>
      <c r="BE81" t="s">
        <v>133</v>
      </c>
    </row>
    <row r="82" spans="19:57" x14ac:dyDescent="0.35">
      <c r="S82">
        <v>170</v>
      </c>
      <c r="T82" t="s">
        <v>25</v>
      </c>
      <c r="U82">
        <v>3</v>
      </c>
      <c r="Y82" t="str">
        <f t="shared" si="9"/>
        <v>('180',</v>
      </c>
      <c r="Z82" t="str">
        <f t="shared" si="10"/>
        <v>'18°C',</v>
      </c>
      <c r="AA82" t="str">
        <f t="shared" si="11"/>
        <v>'31.9°C',</v>
      </c>
      <c r="AB82" s="22" t="str">
        <f t="shared" si="12"/>
        <v>'61%',</v>
      </c>
      <c r="AC82" s="22" t="str">
        <f t="shared" si="13"/>
        <v>'80%',</v>
      </c>
      <c r="AD82" s="28" t="str">
        <f t="shared" si="14"/>
        <v>'410',</v>
      </c>
      <c r="AE82" s="28" t="str">
        <f t="shared" si="15"/>
        <v>'613',</v>
      </c>
      <c r="AF82" t="str">
        <f t="shared" si="16"/>
        <v>'80',</v>
      </c>
      <c r="AG82" t="str">
        <f t="shared" si="17"/>
        <v>'Interval ideal pentru nitrificare, cresterea plantelor si plantare.'),</v>
      </c>
      <c r="AL82" s="25">
        <v>4.0999999999999996</v>
      </c>
      <c r="AM82" s="25">
        <v>6.13</v>
      </c>
      <c r="AX82">
        <v>180</v>
      </c>
      <c r="AY82" t="s">
        <v>134</v>
      </c>
      <c r="AZ82" t="s">
        <v>135</v>
      </c>
      <c r="BA82" s="22">
        <v>0.61</v>
      </c>
      <c r="BB82" s="22">
        <v>0.8</v>
      </c>
      <c r="BD82">
        <v>80</v>
      </c>
      <c r="BE82" t="s">
        <v>137</v>
      </c>
    </row>
    <row r="83" spans="19:57" x14ac:dyDescent="0.35">
      <c r="S83">
        <v>171</v>
      </c>
      <c r="T83" t="s">
        <v>26</v>
      </c>
      <c r="U83">
        <v>3</v>
      </c>
      <c r="Y83" t="str">
        <f t="shared" si="9"/>
        <v>('181',</v>
      </c>
      <c r="Z83" t="str">
        <f t="shared" si="10"/>
        <v>'18°C',</v>
      </c>
      <c r="AA83" t="str">
        <f t="shared" si="11"/>
        <v>'31.9°C',</v>
      </c>
      <c r="AB83" s="22" t="str">
        <f t="shared" si="12"/>
        <v>'61%',</v>
      </c>
      <c r="AC83" s="22" t="str">
        <f t="shared" si="13"/>
        <v>'80%',</v>
      </c>
      <c r="AD83" s="28" t="str">
        <f t="shared" si="14"/>
        <v>'410',</v>
      </c>
      <c r="AE83" s="28" t="str">
        <f t="shared" si="15"/>
        <v>'613',</v>
      </c>
      <c r="AF83" t="str">
        <f t="shared" si="16"/>
        <v>'81',</v>
      </c>
      <c r="AG83" t="str">
        <f t="shared" si="17"/>
        <v>'Interval ideal pentru nitrificare, cresterea plantelor si plantare.'),</v>
      </c>
      <c r="AL83" s="25">
        <v>4.0999999999999996</v>
      </c>
      <c r="AM83" s="25">
        <v>6.13</v>
      </c>
      <c r="AX83">
        <v>181</v>
      </c>
      <c r="AY83" t="s">
        <v>134</v>
      </c>
      <c r="AZ83" t="s">
        <v>135</v>
      </c>
      <c r="BA83" s="22">
        <v>0.61</v>
      </c>
      <c r="BB83" s="22">
        <v>0.8</v>
      </c>
      <c r="BD83">
        <v>81</v>
      </c>
      <c r="BE83" t="s">
        <v>137</v>
      </c>
    </row>
    <row r="84" spans="19:57" x14ac:dyDescent="0.35">
      <c r="S84">
        <v>172</v>
      </c>
      <c r="T84" t="s">
        <v>27</v>
      </c>
      <c r="U84">
        <v>3</v>
      </c>
      <c r="Y84" t="str">
        <f t="shared" si="9"/>
        <v>('182',</v>
      </c>
      <c r="Z84" t="str">
        <f t="shared" si="10"/>
        <v>'18°C',</v>
      </c>
      <c r="AA84" t="str">
        <f t="shared" si="11"/>
        <v>'31.9°C',</v>
      </c>
      <c r="AB84" s="22" t="str">
        <f t="shared" si="12"/>
        <v>'61%',</v>
      </c>
      <c r="AC84" s="22" t="str">
        <f t="shared" si="13"/>
        <v>'80%',</v>
      </c>
      <c r="AD84" s="28" t="str">
        <f t="shared" si="14"/>
        <v>'410',</v>
      </c>
      <c r="AE84" s="28" t="str">
        <f t="shared" si="15"/>
        <v>'613',</v>
      </c>
      <c r="AF84" t="str">
        <f t="shared" si="16"/>
        <v>'82',</v>
      </c>
      <c r="AG84" t="str">
        <f t="shared" si="17"/>
        <v>'Interval ideal pentru nitrificare, cresterea plantelor si plantare.'),</v>
      </c>
      <c r="AL84" s="25">
        <v>4.0999999999999996</v>
      </c>
      <c r="AM84" s="25">
        <v>6.13</v>
      </c>
      <c r="AX84">
        <v>182</v>
      </c>
      <c r="AY84" t="s">
        <v>134</v>
      </c>
      <c r="AZ84" t="s">
        <v>135</v>
      </c>
      <c r="BA84" s="22">
        <v>0.61</v>
      </c>
      <c r="BB84" s="22">
        <v>0.8</v>
      </c>
      <c r="BD84">
        <v>82</v>
      </c>
      <c r="BE84" t="s">
        <v>137</v>
      </c>
    </row>
    <row r="85" spans="19:57" x14ac:dyDescent="0.35">
      <c r="S85">
        <v>173</v>
      </c>
      <c r="T85" t="s">
        <v>28</v>
      </c>
      <c r="U85">
        <v>3</v>
      </c>
      <c r="Y85" t="str">
        <f t="shared" si="9"/>
        <v>('183',</v>
      </c>
      <c r="Z85" t="str">
        <f t="shared" si="10"/>
        <v>'18°C',</v>
      </c>
      <c r="AA85" t="str">
        <f t="shared" si="11"/>
        <v>'31.9°C',</v>
      </c>
      <c r="AB85" s="22" t="str">
        <f t="shared" si="12"/>
        <v>'61%',</v>
      </c>
      <c r="AC85" s="22" t="str">
        <f t="shared" si="13"/>
        <v>'80%',</v>
      </c>
      <c r="AD85" s="28" t="str">
        <f t="shared" si="14"/>
        <v>'410',</v>
      </c>
      <c r="AE85" s="28" t="str">
        <f t="shared" si="15"/>
        <v>'613',</v>
      </c>
      <c r="AF85" t="str">
        <f t="shared" si="16"/>
        <v>'83',</v>
      </c>
      <c r="AG85" t="str">
        <f t="shared" si="17"/>
        <v>'Interval ideal pentru nitrificare, cresterea plantelor si plantare.'),</v>
      </c>
      <c r="AL85" s="25">
        <v>4.0999999999999996</v>
      </c>
      <c r="AM85" s="25">
        <v>6.13</v>
      </c>
      <c r="AX85">
        <v>183</v>
      </c>
      <c r="AY85" t="s">
        <v>134</v>
      </c>
      <c r="AZ85" t="s">
        <v>135</v>
      </c>
      <c r="BA85" s="22">
        <v>0.61</v>
      </c>
      <c r="BB85" s="22">
        <v>0.8</v>
      </c>
      <c r="BD85">
        <v>83</v>
      </c>
      <c r="BE85" t="s">
        <v>137</v>
      </c>
    </row>
    <row r="86" spans="19:57" x14ac:dyDescent="0.35">
      <c r="S86">
        <v>174</v>
      </c>
      <c r="T86" t="s">
        <v>121</v>
      </c>
      <c r="U86">
        <v>3</v>
      </c>
      <c r="Y86" t="str">
        <f t="shared" si="9"/>
        <v>('184',</v>
      </c>
      <c r="Z86" t="str">
        <f t="shared" si="10"/>
        <v>'18°C',</v>
      </c>
      <c r="AA86" t="str">
        <f t="shared" si="11"/>
        <v>'31.9°C',</v>
      </c>
      <c r="AB86" s="22" t="str">
        <f t="shared" si="12"/>
        <v>'61%',</v>
      </c>
      <c r="AC86" s="22" t="str">
        <f t="shared" si="13"/>
        <v>'80%',</v>
      </c>
      <c r="AD86" s="28" t="str">
        <f t="shared" si="14"/>
        <v>'410',</v>
      </c>
      <c r="AE86" s="28" t="str">
        <f t="shared" si="15"/>
        <v>'613',</v>
      </c>
      <c r="AF86" t="str">
        <f t="shared" si="16"/>
        <v>'84',</v>
      </c>
      <c r="AG86" t="str">
        <f t="shared" si="17"/>
        <v>'Interval ideal pentru nitrificare, cresterea plantelor si plantare.'),</v>
      </c>
      <c r="AL86" s="25">
        <v>4.0999999999999996</v>
      </c>
      <c r="AM86" s="25">
        <v>6.13</v>
      </c>
      <c r="AX86">
        <v>184</v>
      </c>
      <c r="AY86" t="s">
        <v>134</v>
      </c>
      <c r="AZ86" t="s">
        <v>135</v>
      </c>
      <c r="BA86" s="22">
        <v>0.61</v>
      </c>
      <c r="BB86" s="22">
        <v>0.8</v>
      </c>
      <c r="BD86">
        <v>84</v>
      </c>
      <c r="BE86" t="s">
        <v>137</v>
      </c>
    </row>
    <row r="87" spans="19:57" x14ac:dyDescent="0.35">
      <c r="S87">
        <v>175</v>
      </c>
      <c r="T87" t="s">
        <v>30</v>
      </c>
      <c r="U87">
        <v>3</v>
      </c>
      <c r="Y87" t="str">
        <f t="shared" si="9"/>
        <v>('185',</v>
      </c>
      <c r="Z87" t="str">
        <f t="shared" si="10"/>
        <v>'18°C',</v>
      </c>
      <c r="AA87" t="str">
        <f t="shared" si="11"/>
        <v>'31.9°C',</v>
      </c>
      <c r="AB87" s="22" t="str">
        <f t="shared" si="12"/>
        <v>'61%',</v>
      </c>
      <c r="AC87" s="22" t="str">
        <f t="shared" si="13"/>
        <v>'80%',</v>
      </c>
      <c r="AD87" s="28" t="str">
        <f t="shared" si="14"/>
        <v>'410',</v>
      </c>
      <c r="AE87" s="28" t="str">
        <f t="shared" si="15"/>
        <v>'613',</v>
      </c>
      <c r="AF87" t="str">
        <f t="shared" si="16"/>
        <v>'85',</v>
      </c>
      <c r="AG87" t="str">
        <f t="shared" si="17"/>
        <v>'Interval ideal pentru nitrificare, cresterea plantelor si plantare.'),</v>
      </c>
      <c r="AL87" s="25">
        <v>4.0999999999999996</v>
      </c>
      <c r="AM87" s="25">
        <v>6.13</v>
      </c>
      <c r="AX87">
        <v>185</v>
      </c>
      <c r="AY87" t="s">
        <v>134</v>
      </c>
      <c r="AZ87" t="s">
        <v>135</v>
      </c>
      <c r="BA87" s="22">
        <v>0.61</v>
      </c>
      <c r="BB87" s="22">
        <v>0.8</v>
      </c>
      <c r="BD87">
        <v>85</v>
      </c>
      <c r="BE87" t="s">
        <v>137</v>
      </c>
    </row>
    <row r="88" spans="19:57" x14ac:dyDescent="0.35">
      <c r="S88">
        <v>176</v>
      </c>
      <c r="T88" t="s">
        <v>71</v>
      </c>
      <c r="U88">
        <v>3</v>
      </c>
      <c r="Y88" t="str">
        <f t="shared" si="9"/>
        <v>('186',</v>
      </c>
      <c r="Z88" t="str">
        <f t="shared" si="10"/>
        <v>'18°C',</v>
      </c>
      <c r="AA88" t="str">
        <f t="shared" si="11"/>
        <v>'31.9°C',</v>
      </c>
      <c r="AB88" s="22" t="str">
        <f t="shared" si="12"/>
        <v>'61%',</v>
      </c>
      <c r="AC88" s="22" t="str">
        <f t="shared" si="13"/>
        <v>'80%',</v>
      </c>
      <c r="AD88" s="28" t="str">
        <f t="shared" si="14"/>
        <v>'410',</v>
      </c>
      <c r="AE88" s="28" t="str">
        <f t="shared" si="15"/>
        <v>'613',</v>
      </c>
      <c r="AF88" t="str">
        <f t="shared" si="16"/>
        <v>'86',</v>
      </c>
      <c r="AG88" t="str">
        <f t="shared" si="17"/>
        <v>'Interval ideal pentru nitrificare, cresterea plantelor si plantare.'),</v>
      </c>
      <c r="AL88" s="25">
        <v>4.0999999999999996</v>
      </c>
      <c r="AM88" s="25">
        <v>6.13</v>
      </c>
      <c r="AX88">
        <v>186</v>
      </c>
      <c r="AY88" t="s">
        <v>134</v>
      </c>
      <c r="AZ88" t="s">
        <v>135</v>
      </c>
      <c r="BA88" s="22">
        <v>0.61</v>
      </c>
      <c r="BB88" s="22">
        <v>0.8</v>
      </c>
      <c r="BD88">
        <v>86</v>
      </c>
      <c r="BE88" t="s">
        <v>137</v>
      </c>
    </row>
    <row r="89" spans="19:57" x14ac:dyDescent="0.35">
      <c r="S89">
        <v>177</v>
      </c>
      <c r="T89" t="s">
        <v>31</v>
      </c>
      <c r="U89">
        <v>3</v>
      </c>
      <c r="Y89" t="str">
        <f t="shared" si="9"/>
        <v>('187',</v>
      </c>
      <c r="Z89" t="str">
        <f t="shared" si="10"/>
        <v>'45°C',</v>
      </c>
      <c r="AA89" t="str">
        <f t="shared" si="11"/>
        <v>'54°C',</v>
      </c>
      <c r="AB89" s="22" t="str">
        <f t="shared" si="12"/>
        <v>'0%',</v>
      </c>
      <c r="AC89" s="22" t="str">
        <f t="shared" si="13"/>
        <v>'20%',</v>
      </c>
      <c r="AD89" s="28" t="str">
        <f t="shared" si="14"/>
        <v>'205',</v>
      </c>
      <c r="AE89" s="28" t="str">
        <f t="shared" si="15"/>
        <v>'409',</v>
      </c>
      <c r="AF89" t="str">
        <f t="shared" si="16"/>
        <v>'87',</v>
      </c>
      <c r="AG89" t="str">
        <f t="shared" si="17"/>
        <v>'Unele specii de bacterii incep sa moara.'),</v>
      </c>
      <c r="AL89" s="25">
        <v>2.0499999999999998</v>
      </c>
      <c r="AM89" s="25">
        <v>4.09</v>
      </c>
      <c r="AX89">
        <v>187</v>
      </c>
      <c r="AY89" t="s">
        <v>125</v>
      </c>
      <c r="AZ89" t="s">
        <v>126</v>
      </c>
      <c r="BA89" s="22">
        <v>0</v>
      </c>
      <c r="BB89" s="22">
        <v>0.2</v>
      </c>
      <c r="BD89">
        <v>87</v>
      </c>
      <c r="BE89" t="s">
        <v>127</v>
      </c>
    </row>
    <row r="90" spans="19:57" x14ac:dyDescent="0.35">
      <c r="S90">
        <v>18</v>
      </c>
      <c r="T90" t="s">
        <v>20</v>
      </c>
      <c r="U90">
        <v>1</v>
      </c>
      <c r="Y90" t="str">
        <f t="shared" si="9"/>
        <v>('188',</v>
      </c>
      <c r="Z90" t="str">
        <f t="shared" si="10"/>
        <v>'45°C',</v>
      </c>
      <c r="AA90" t="str">
        <f t="shared" si="11"/>
        <v>'54°C',</v>
      </c>
      <c r="AB90" s="22" t="str">
        <f t="shared" si="12"/>
        <v>'0%',</v>
      </c>
      <c r="AC90" s="22" t="str">
        <f t="shared" si="13"/>
        <v>'20%',</v>
      </c>
      <c r="AD90" s="28" t="str">
        <f t="shared" si="14"/>
        <v>'614',</v>
      </c>
      <c r="AE90" s="28" t="str">
        <f t="shared" si="15"/>
        <v>'818',</v>
      </c>
      <c r="AF90" t="str">
        <f t="shared" si="16"/>
        <v>'88',</v>
      </c>
      <c r="AG90" t="str">
        <f t="shared" si="17"/>
        <v>'Unele specii de bacterii incep sa moara.'),</v>
      </c>
      <c r="AL90" s="25">
        <v>6.14</v>
      </c>
      <c r="AM90" s="25">
        <v>8.18</v>
      </c>
      <c r="AX90">
        <v>188</v>
      </c>
      <c r="AY90" t="s">
        <v>125</v>
      </c>
      <c r="AZ90" t="s">
        <v>126</v>
      </c>
      <c r="BA90" s="22">
        <v>0</v>
      </c>
      <c r="BB90" s="22">
        <v>0.2</v>
      </c>
      <c r="BD90">
        <v>88</v>
      </c>
      <c r="BE90" t="s">
        <v>127</v>
      </c>
    </row>
    <row r="91" spans="19:57" x14ac:dyDescent="0.35">
      <c r="S91">
        <v>19</v>
      </c>
      <c r="T91" t="s">
        <v>7</v>
      </c>
      <c r="U91">
        <v>1</v>
      </c>
      <c r="Y91" t="str">
        <f t="shared" si="9"/>
        <v>('189',</v>
      </c>
      <c r="Z91" t="str">
        <f t="shared" si="10"/>
        <v>'38°C',</v>
      </c>
      <c r="AA91" t="str">
        <f t="shared" si="11"/>
        <v>'44.9°C',</v>
      </c>
      <c r="AB91" s="22" t="str">
        <f t="shared" si="12"/>
        <v>'21%',</v>
      </c>
      <c r="AC91" s="22" t="str">
        <f t="shared" si="13"/>
        <v>'40%',</v>
      </c>
      <c r="AD91" s="28" t="str">
        <f t="shared" si="14"/>
        <v>'614',</v>
      </c>
      <c r="AE91" s="28" t="str">
        <f t="shared" si="15"/>
        <v>'818',</v>
      </c>
      <c r="AF91" t="str">
        <f t="shared" si="16"/>
        <v>'89',</v>
      </c>
      <c r="AG91" t="str">
        <f t="shared" si="17"/>
        <v>'15% din umiditate este folosita pentru crestere, 85% se pierde prin evaporare si transpiratie.'),</v>
      </c>
      <c r="AL91" s="25">
        <v>6.14</v>
      </c>
      <c r="AM91" s="25">
        <v>8.18</v>
      </c>
      <c r="AX91">
        <v>189</v>
      </c>
      <c r="AY91" t="s">
        <v>128</v>
      </c>
      <c r="AZ91" t="s">
        <v>129</v>
      </c>
      <c r="BA91" s="22">
        <v>0.21</v>
      </c>
      <c r="BB91" s="22">
        <v>0.4</v>
      </c>
      <c r="BD91">
        <v>89</v>
      </c>
      <c r="BE91" t="s">
        <v>130</v>
      </c>
    </row>
    <row r="92" spans="19:57" x14ac:dyDescent="0.35">
      <c r="S92">
        <v>2</v>
      </c>
      <c r="T92" t="s">
        <v>8</v>
      </c>
      <c r="U92">
        <v>1</v>
      </c>
      <c r="Y92" t="str">
        <f t="shared" si="9"/>
        <v>('190',</v>
      </c>
      <c r="Z92" t="str">
        <f t="shared" si="10"/>
        <v>'38°C',</v>
      </c>
      <c r="AA92" t="str">
        <f t="shared" si="11"/>
        <v>'44.9°C',</v>
      </c>
      <c r="AB92" s="22" t="str">
        <f t="shared" si="12"/>
        <v>'21%',</v>
      </c>
      <c r="AC92" s="22" t="str">
        <f t="shared" si="13"/>
        <v>'40%',</v>
      </c>
      <c r="AD92" s="28" t="str">
        <f t="shared" si="14"/>
        <v>'819',</v>
      </c>
      <c r="AE92" s="28" t="str">
        <f t="shared" si="15"/>
        <v>'1024',</v>
      </c>
      <c r="AF92" t="str">
        <f t="shared" si="16"/>
        <v>'90',</v>
      </c>
      <c r="AG92" t="str">
        <f t="shared" si="17"/>
        <v>'15% din umiditate este folosita pentru crestere, 85% se pierde prin evaporare si transpiratie.'),</v>
      </c>
      <c r="AL92" s="25">
        <v>8.19</v>
      </c>
      <c r="AM92" s="25">
        <v>10.24</v>
      </c>
      <c r="AX92">
        <v>190</v>
      </c>
      <c r="AY92" t="s">
        <v>128</v>
      </c>
      <c r="AZ92" t="s">
        <v>129</v>
      </c>
      <c r="BA92" s="22">
        <v>0.21</v>
      </c>
      <c r="BB92" s="22">
        <v>0.4</v>
      </c>
      <c r="BD92">
        <v>90</v>
      </c>
      <c r="BE92" t="s">
        <v>130</v>
      </c>
    </row>
    <row r="93" spans="19:57" x14ac:dyDescent="0.35">
      <c r="S93">
        <v>20</v>
      </c>
      <c r="T93" t="s">
        <v>4</v>
      </c>
      <c r="U93">
        <v>1</v>
      </c>
      <c r="Y93" t="str">
        <f t="shared" si="9"/>
        <v>('191',</v>
      </c>
      <c r="Z93" t="str">
        <f t="shared" si="10"/>
        <v>'38°C',</v>
      </c>
      <c r="AA93" t="str">
        <f t="shared" si="11"/>
        <v>'44.9°C',</v>
      </c>
      <c r="AB93" s="22" t="str">
        <f t="shared" si="12"/>
        <v>'21%',</v>
      </c>
      <c r="AC93" s="22" t="str">
        <f t="shared" si="13"/>
        <v>'40%',</v>
      </c>
      <c r="AD93" s="28" t="str">
        <f t="shared" si="14"/>
        <v>'614',</v>
      </c>
      <c r="AE93" s="28" t="str">
        <f t="shared" si="15"/>
        <v>'818',</v>
      </c>
      <c r="AF93" t="str">
        <f t="shared" si="16"/>
        <v>'91',</v>
      </c>
      <c r="AG93" t="str">
        <f t="shared" si="17"/>
        <v>'15% din umiditate este folosita pentru crestere, 85% se pierde prin evaporare si transpiratie.'),</v>
      </c>
      <c r="AL93" s="25">
        <v>6.14</v>
      </c>
      <c r="AM93" s="25">
        <v>8.18</v>
      </c>
      <c r="AX93">
        <v>191</v>
      </c>
      <c r="AY93" t="s">
        <v>128</v>
      </c>
      <c r="AZ93" t="s">
        <v>129</v>
      </c>
      <c r="BA93" s="22">
        <v>0.21</v>
      </c>
      <c r="BB93" s="22">
        <v>0.4</v>
      </c>
      <c r="BD93">
        <v>91</v>
      </c>
      <c r="BE93" t="s">
        <v>130</v>
      </c>
    </row>
    <row r="94" spans="19:57" x14ac:dyDescent="0.35">
      <c r="S94">
        <v>21</v>
      </c>
      <c r="T94" t="s">
        <v>32</v>
      </c>
      <c r="U94">
        <v>1</v>
      </c>
      <c r="Y94" t="str">
        <f t="shared" si="9"/>
        <v>('192',</v>
      </c>
      <c r="Z94" t="str">
        <f t="shared" si="10"/>
        <v>'38°C',</v>
      </c>
      <c r="AA94" t="str">
        <f t="shared" si="11"/>
        <v>'44.9°C',</v>
      </c>
      <c r="AB94" s="22" t="str">
        <f t="shared" si="12"/>
        <v>'21%',</v>
      </c>
      <c r="AC94" s="22" t="str">
        <f t="shared" si="13"/>
        <v>'40%',</v>
      </c>
      <c r="AD94" s="28" t="str">
        <f t="shared" si="14"/>
        <v>'614',</v>
      </c>
      <c r="AE94" s="28" t="str">
        <f t="shared" si="15"/>
        <v>'818',</v>
      </c>
      <c r="AF94" t="str">
        <f t="shared" si="16"/>
        <v>'92',</v>
      </c>
      <c r="AG94" t="str">
        <f t="shared" si="17"/>
        <v>'15% din umiditate este folosita pentru crestere, 85% se pierde prin evaporare si transpiratie.'),</v>
      </c>
      <c r="AL94" s="25">
        <v>6.14</v>
      </c>
      <c r="AM94" s="25">
        <v>8.18</v>
      </c>
      <c r="AX94">
        <v>192</v>
      </c>
      <c r="AY94" t="s">
        <v>128</v>
      </c>
      <c r="AZ94" t="s">
        <v>129</v>
      </c>
      <c r="BA94" s="22">
        <v>0.21</v>
      </c>
      <c r="BB94" s="22">
        <v>0.4</v>
      </c>
      <c r="BD94">
        <v>92</v>
      </c>
      <c r="BE94" t="s">
        <v>130</v>
      </c>
    </row>
    <row r="95" spans="19:57" x14ac:dyDescent="0.35">
      <c r="S95">
        <v>22</v>
      </c>
      <c r="T95" t="s">
        <v>6</v>
      </c>
      <c r="U95">
        <v>1</v>
      </c>
      <c r="Y95" t="str">
        <f t="shared" si="9"/>
        <v>('193',</v>
      </c>
      <c r="Z95" t="str">
        <f t="shared" si="10"/>
        <v>'38°C',</v>
      </c>
      <c r="AA95" t="str">
        <f t="shared" si="11"/>
        <v>'44.9°C',</v>
      </c>
      <c r="AB95" s="22" t="str">
        <f t="shared" si="12"/>
        <v>'21%',</v>
      </c>
      <c r="AC95" s="22" t="str">
        <f t="shared" si="13"/>
        <v>'40%',</v>
      </c>
      <c r="AD95" s="28" t="str">
        <f t="shared" si="14"/>
        <v>'614',</v>
      </c>
      <c r="AE95" s="28" t="str">
        <f t="shared" si="15"/>
        <v>'818',</v>
      </c>
      <c r="AF95" t="str">
        <f t="shared" si="16"/>
        <v>'93',</v>
      </c>
      <c r="AG95" t="str">
        <f t="shared" si="17"/>
        <v>'15% din umiditate este folosita pentru crestere, 85% se pierde prin evaporare si transpiratie.'),</v>
      </c>
      <c r="AL95" s="25">
        <v>6.14</v>
      </c>
      <c r="AM95" s="25">
        <v>8.18</v>
      </c>
      <c r="AX95">
        <v>193</v>
      </c>
      <c r="AY95" t="s">
        <v>128</v>
      </c>
      <c r="AZ95" t="s">
        <v>129</v>
      </c>
      <c r="BA95" s="22">
        <v>0.21</v>
      </c>
      <c r="BB95" s="22">
        <v>0.4</v>
      </c>
      <c r="BD95">
        <v>93</v>
      </c>
      <c r="BE95" t="s">
        <v>130</v>
      </c>
    </row>
    <row r="96" spans="19:57" x14ac:dyDescent="0.35">
      <c r="S96">
        <v>23</v>
      </c>
      <c r="T96" t="s">
        <v>8</v>
      </c>
      <c r="U96">
        <v>1</v>
      </c>
      <c r="Y96" t="str">
        <f t="shared" si="9"/>
        <v>('194',</v>
      </c>
      <c r="Z96" t="str">
        <f t="shared" si="10"/>
        <v>'38°C',</v>
      </c>
      <c r="AA96" t="str">
        <f t="shared" si="11"/>
        <v>'44.9°C',</v>
      </c>
      <c r="AB96" s="22" t="str">
        <f t="shared" si="12"/>
        <v>'21%',</v>
      </c>
      <c r="AC96" s="22" t="str">
        <f t="shared" si="13"/>
        <v>'40%',</v>
      </c>
      <c r="AD96" s="28" t="str">
        <f t="shared" si="14"/>
        <v>'614',</v>
      </c>
      <c r="AE96" s="28" t="str">
        <f t="shared" si="15"/>
        <v>'818',</v>
      </c>
      <c r="AF96" t="str">
        <f t="shared" si="16"/>
        <v>'94',</v>
      </c>
      <c r="AG96" t="str">
        <f t="shared" si="17"/>
        <v>'15% din umiditate este folosita pentru crestere, 85% se pierde prin evaporare si transpiratie.'),</v>
      </c>
      <c r="AL96" s="25">
        <v>6.14</v>
      </c>
      <c r="AM96" s="25">
        <v>8.18</v>
      </c>
      <c r="AX96">
        <v>194</v>
      </c>
      <c r="AY96" t="s">
        <v>128</v>
      </c>
      <c r="AZ96" t="s">
        <v>129</v>
      </c>
      <c r="BA96" s="22">
        <v>0.21</v>
      </c>
      <c r="BB96" s="22">
        <v>0.4</v>
      </c>
      <c r="BD96">
        <v>94</v>
      </c>
      <c r="BE96" t="s">
        <v>130</v>
      </c>
    </row>
    <row r="97" spans="1:57" x14ac:dyDescent="0.35">
      <c r="S97">
        <v>24</v>
      </c>
      <c r="T97" t="s">
        <v>9</v>
      </c>
      <c r="U97">
        <v>1</v>
      </c>
      <c r="Y97" t="str">
        <f t="shared" si="9"/>
        <v>('195',</v>
      </c>
      <c r="Z97" t="str">
        <f t="shared" si="10"/>
        <v>'38°C',</v>
      </c>
      <c r="AA97" t="str">
        <f t="shared" si="11"/>
        <v>'44.9°C',</v>
      </c>
      <c r="AB97" s="22" t="str">
        <f t="shared" si="12"/>
        <v>'21%',</v>
      </c>
      <c r="AC97" s="22" t="str">
        <f t="shared" si="13"/>
        <v>'40%',</v>
      </c>
      <c r="AD97" s="28" t="str">
        <f t="shared" si="14"/>
        <v>'614',</v>
      </c>
      <c r="AE97" s="28" t="str">
        <f t="shared" si="15"/>
        <v>'818',</v>
      </c>
      <c r="AF97" t="str">
        <f t="shared" si="16"/>
        <v>'95',</v>
      </c>
      <c r="AG97" t="str">
        <f t="shared" si="17"/>
        <v>'15% din umiditate este folosita pentru crestere, 85% se pierde prin evaporare si transpiratie.'),</v>
      </c>
      <c r="AL97" s="25">
        <v>6.14</v>
      </c>
      <c r="AM97" s="25">
        <v>8.18</v>
      </c>
      <c r="AX97">
        <v>195</v>
      </c>
      <c r="AY97" t="s">
        <v>128</v>
      </c>
      <c r="AZ97" t="s">
        <v>129</v>
      </c>
      <c r="BA97" s="22">
        <v>0.21</v>
      </c>
      <c r="BB97" s="22">
        <v>0.4</v>
      </c>
      <c r="BD97">
        <v>95</v>
      </c>
      <c r="BE97" t="s">
        <v>130</v>
      </c>
    </row>
    <row r="98" spans="1:57" x14ac:dyDescent="0.35">
      <c r="S98">
        <v>25</v>
      </c>
      <c r="T98" t="s">
        <v>33</v>
      </c>
      <c r="U98">
        <v>1</v>
      </c>
      <c r="Y98" t="str">
        <f t="shared" si="9"/>
        <v>('196',</v>
      </c>
      <c r="Z98" t="str">
        <f t="shared" si="10"/>
        <v>'38°C',</v>
      </c>
      <c r="AA98" t="str">
        <f t="shared" si="11"/>
        <v>'44.9°C',</v>
      </c>
      <c r="AB98" s="22" t="str">
        <f t="shared" si="12"/>
        <v>'21%',</v>
      </c>
      <c r="AC98" s="22" t="str">
        <f t="shared" si="13"/>
        <v>'40%',</v>
      </c>
      <c r="AD98" s="28" t="str">
        <f t="shared" si="14"/>
        <v>'614',</v>
      </c>
      <c r="AE98" s="28" t="str">
        <f t="shared" si="15"/>
        <v>'818',</v>
      </c>
      <c r="AF98" t="str">
        <f t="shared" si="16"/>
        <v>'96',</v>
      </c>
      <c r="AG98" t="str">
        <f t="shared" si="17"/>
        <v>'15% din umiditate este folosita pentru crestere, 85% se pierde prin evaporare si transpiratie.'),</v>
      </c>
      <c r="AL98" s="25">
        <v>6.14</v>
      </c>
      <c r="AM98" s="25">
        <v>8.18</v>
      </c>
      <c r="AX98">
        <v>196</v>
      </c>
      <c r="AY98" t="s">
        <v>128</v>
      </c>
      <c r="AZ98" t="s">
        <v>129</v>
      </c>
      <c r="BA98" s="22">
        <v>0.21</v>
      </c>
      <c r="BB98" s="22">
        <v>0.4</v>
      </c>
      <c r="BD98">
        <v>96</v>
      </c>
      <c r="BE98" t="s">
        <v>130</v>
      </c>
    </row>
    <row r="99" spans="1:57" x14ac:dyDescent="0.35">
      <c r="S99">
        <v>26</v>
      </c>
      <c r="T99" t="s">
        <v>34</v>
      </c>
      <c r="U99">
        <v>1</v>
      </c>
      <c r="Y99" t="str">
        <f t="shared" si="9"/>
        <v>('197',</v>
      </c>
      <c r="Z99" t="str">
        <f t="shared" si="10"/>
        <v>'38°C',</v>
      </c>
      <c r="AA99" t="str">
        <f t="shared" si="11"/>
        <v>'44.9°C',</v>
      </c>
      <c r="AB99" s="22" t="str">
        <f t="shared" si="12"/>
        <v>'21%',</v>
      </c>
      <c r="AC99" s="22" t="str">
        <f t="shared" si="13"/>
        <v>'40%',</v>
      </c>
      <c r="AD99" s="28" t="str">
        <f t="shared" si="14"/>
        <v>'614',</v>
      </c>
      <c r="AE99" s="28" t="str">
        <f t="shared" si="15"/>
        <v>'818',</v>
      </c>
      <c r="AF99" t="str">
        <f t="shared" si="16"/>
        <v>'97',</v>
      </c>
      <c r="AG99" t="str">
        <f t="shared" si="17"/>
        <v>'15% din umiditate este folosita pentru crestere, 85% se pierde prin evaporare si transpiratie.'),</v>
      </c>
      <c r="AL99" s="25">
        <v>6.14</v>
      </c>
      <c r="AM99" s="25">
        <v>8.18</v>
      </c>
      <c r="AX99">
        <v>197</v>
      </c>
      <c r="AY99" t="s">
        <v>128</v>
      </c>
      <c r="AZ99" t="s">
        <v>129</v>
      </c>
      <c r="BA99" s="22">
        <v>0.21</v>
      </c>
      <c r="BB99" s="22">
        <v>0.4</v>
      </c>
      <c r="BD99">
        <v>97</v>
      </c>
      <c r="BE99" t="s">
        <v>130</v>
      </c>
    </row>
    <row r="100" spans="1:57" x14ac:dyDescent="0.35">
      <c r="S100">
        <v>27</v>
      </c>
      <c r="T100" t="s">
        <v>35</v>
      </c>
      <c r="U100">
        <v>1</v>
      </c>
      <c r="Y100" t="str">
        <f t="shared" si="9"/>
        <v>('198',</v>
      </c>
      <c r="Z100" t="str">
        <f t="shared" si="10"/>
        <v>'38°C',</v>
      </c>
      <c r="AA100" t="str">
        <f t="shared" si="11"/>
        <v>'44.9°C',</v>
      </c>
      <c r="AB100" s="22" t="str">
        <f t="shared" si="12"/>
        <v>'21%',</v>
      </c>
      <c r="AC100" s="22" t="str">
        <f t="shared" si="13"/>
        <v>'40%',</v>
      </c>
      <c r="AD100" s="28" t="str">
        <f t="shared" si="14"/>
        <v>'614',</v>
      </c>
      <c r="AE100" s="28" t="str">
        <f t="shared" si="15"/>
        <v>'818',</v>
      </c>
      <c r="AF100" t="str">
        <f t="shared" si="16"/>
        <v>'98',</v>
      </c>
      <c r="AG100" t="str">
        <f t="shared" si="17"/>
        <v>'15% din umiditate este folosita pentru crestere, 85% se pierde prin evaporare si transpiratie.'),</v>
      </c>
      <c r="AL100" s="25">
        <v>6.14</v>
      </c>
      <c r="AM100" s="25">
        <v>8.18</v>
      </c>
      <c r="AX100">
        <v>198</v>
      </c>
      <c r="AY100" t="s">
        <v>128</v>
      </c>
      <c r="AZ100" t="s">
        <v>129</v>
      </c>
      <c r="BA100" s="22">
        <v>0.21</v>
      </c>
      <c r="BB100" s="22">
        <v>0.4</v>
      </c>
      <c r="BD100">
        <v>98</v>
      </c>
      <c r="BE100" t="s">
        <v>130</v>
      </c>
    </row>
    <row r="101" spans="1:57" x14ac:dyDescent="0.35">
      <c r="A101" s="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S101">
        <v>28</v>
      </c>
      <c r="T101" t="s">
        <v>36</v>
      </c>
      <c r="U101">
        <v>1</v>
      </c>
      <c r="Y101" t="str">
        <f t="shared" si="9"/>
        <v>('199',</v>
      </c>
      <c r="Z101" t="str">
        <f t="shared" si="10"/>
        <v>'38°C',</v>
      </c>
      <c r="AA101" t="str">
        <f t="shared" si="11"/>
        <v>'44.9°C',</v>
      </c>
      <c r="AB101" s="22" t="str">
        <f t="shared" si="12"/>
        <v>'21%',</v>
      </c>
      <c r="AC101" s="22" t="str">
        <f t="shared" si="13"/>
        <v>'40%',</v>
      </c>
      <c r="AD101" s="28" t="str">
        <f t="shared" si="14"/>
        <v>'614',</v>
      </c>
      <c r="AE101" s="28" t="str">
        <f t="shared" si="15"/>
        <v>'818',</v>
      </c>
      <c r="AF101" t="str">
        <f t="shared" si="16"/>
        <v>'99',</v>
      </c>
      <c r="AG101" t="str">
        <f t="shared" si="17"/>
        <v>'15% din umiditate este folosita pentru crestere, 85% se pierde prin evaporare si transpiratie.'),</v>
      </c>
      <c r="AL101" s="25">
        <v>6.14</v>
      </c>
      <c r="AM101" s="25">
        <v>8.18</v>
      </c>
      <c r="AX101">
        <v>199</v>
      </c>
      <c r="AY101" t="s">
        <v>128</v>
      </c>
      <c r="AZ101" t="s">
        <v>129</v>
      </c>
      <c r="BA101" s="22">
        <v>0.21</v>
      </c>
      <c r="BB101" s="22">
        <v>0.4</v>
      </c>
      <c r="BD101">
        <v>99</v>
      </c>
      <c r="BE101" t="s">
        <v>130</v>
      </c>
    </row>
    <row r="102" spans="1:57" x14ac:dyDescent="0.35">
      <c r="S102">
        <v>29</v>
      </c>
      <c r="T102" t="s">
        <v>37</v>
      </c>
      <c r="U102">
        <v>1</v>
      </c>
      <c r="Y102" t="str">
        <f t="shared" si="9"/>
        <v>('1100',</v>
      </c>
      <c r="Z102" t="str">
        <f t="shared" si="10"/>
        <v>'38°C',</v>
      </c>
      <c r="AA102" t="str">
        <f t="shared" si="11"/>
        <v>'44.9°C',</v>
      </c>
      <c r="AB102" s="22" t="str">
        <f t="shared" si="12"/>
        <v>'21%',</v>
      </c>
      <c r="AC102" s="22" t="str">
        <f t="shared" si="13"/>
        <v>'40%',</v>
      </c>
      <c r="AD102" s="28" t="str">
        <f t="shared" si="14"/>
        <v>'614',</v>
      </c>
      <c r="AE102" s="28" t="str">
        <f t="shared" si="15"/>
        <v>'818',</v>
      </c>
      <c r="AF102" t="str">
        <f t="shared" si="16"/>
        <v>'100',</v>
      </c>
      <c r="AG102" t="str">
        <f t="shared" si="17"/>
        <v>'15% din umiditate este folosita pentru crestere, 85% se pierde prin evaporare si transpiratie.'),</v>
      </c>
      <c r="AL102" s="25">
        <v>6.14</v>
      </c>
      <c r="AM102" s="25">
        <v>8.18</v>
      </c>
      <c r="AX102">
        <v>1100</v>
      </c>
      <c r="AY102" t="s">
        <v>128</v>
      </c>
      <c r="AZ102" t="s">
        <v>129</v>
      </c>
      <c r="BA102" s="22">
        <v>0.21</v>
      </c>
      <c r="BB102" s="22">
        <v>0.4</v>
      </c>
      <c r="BD102">
        <v>100</v>
      </c>
      <c r="BE102" t="s">
        <v>130</v>
      </c>
    </row>
    <row r="103" spans="1:57" x14ac:dyDescent="0.35">
      <c r="S103">
        <v>3</v>
      </c>
      <c r="T103" t="s">
        <v>52</v>
      </c>
      <c r="U103">
        <v>1</v>
      </c>
      <c r="Y103" t="str">
        <f t="shared" si="9"/>
        <v>('1101',</v>
      </c>
      <c r="Z103" t="str">
        <f t="shared" si="10"/>
        <v>'38°C',</v>
      </c>
      <c r="AA103" t="str">
        <f t="shared" si="11"/>
        <v>'44.9°C',</v>
      </c>
      <c r="AB103" s="22" t="str">
        <f t="shared" si="12"/>
        <v>'21%',</v>
      </c>
      <c r="AC103" s="22" t="str">
        <f t="shared" si="13"/>
        <v>'40%',</v>
      </c>
      <c r="AD103" s="28" t="str">
        <f t="shared" si="14"/>
        <v>'819',</v>
      </c>
      <c r="AE103" s="28" t="str">
        <f t="shared" si="15"/>
        <v>'1024',</v>
      </c>
      <c r="AF103" t="str">
        <f t="shared" si="16"/>
        <v>'101',</v>
      </c>
      <c r="AG103" t="str">
        <f t="shared" si="17"/>
        <v>'15% din umiditate este folosita pentru crestere, 85% se pierde prin evaporare si transpiratie.'),</v>
      </c>
      <c r="AL103" s="25">
        <v>8.19</v>
      </c>
      <c r="AM103" s="25">
        <v>10.24</v>
      </c>
      <c r="AX103">
        <v>1101</v>
      </c>
      <c r="AY103" t="s">
        <v>128</v>
      </c>
      <c r="AZ103" t="s">
        <v>129</v>
      </c>
      <c r="BA103" s="22">
        <v>0.21</v>
      </c>
      <c r="BB103" s="22">
        <v>0.4</v>
      </c>
      <c r="BD103">
        <v>101</v>
      </c>
      <c r="BE103" t="s">
        <v>130</v>
      </c>
    </row>
    <row r="104" spans="1:57" x14ac:dyDescent="0.35">
      <c r="S104">
        <v>30</v>
      </c>
      <c r="T104" t="s">
        <v>38</v>
      </c>
      <c r="U104">
        <v>1</v>
      </c>
      <c r="Y104" t="str">
        <f t="shared" si="9"/>
        <v>('1102',</v>
      </c>
      <c r="Z104" t="str">
        <f t="shared" si="10"/>
        <v>'38°C',</v>
      </c>
      <c r="AA104" t="str">
        <f t="shared" si="11"/>
        <v>'44.9°C',</v>
      </c>
      <c r="AB104" s="22" t="str">
        <f t="shared" si="12"/>
        <v>'21%',</v>
      </c>
      <c r="AC104" s="22" t="str">
        <f t="shared" si="13"/>
        <v>'40%',</v>
      </c>
      <c r="AD104" s="28" t="str">
        <f t="shared" si="14"/>
        <v>'614',</v>
      </c>
      <c r="AE104" s="28" t="str">
        <f t="shared" si="15"/>
        <v>'818',</v>
      </c>
      <c r="AF104" t="str">
        <f t="shared" si="16"/>
        <v>'102',</v>
      </c>
      <c r="AG104" t="str">
        <f t="shared" si="17"/>
        <v>'15% din umiditate este folosita pentru crestere, 85% se pierde prin evaporare si transpiratie.'),</v>
      </c>
      <c r="AL104" s="25">
        <v>6.14</v>
      </c>
      <c r="AM104" s="25">
        <v>8.18</v>
      </c>
      <c r="AX104">
        <v>1102</v>
      </c>
      <c r="AY104" t="s">
        <v>128</v>
      </c>
      <c r="AZ104" t="s">
        <v>129</v>
      </c>
      <c r="BA104" s="22">
        <v>0.21</v>
      </c>
      <c r="BB104" s="22">
        <v>0.4</v>
      </c>
      <c r="BD104">
        <v>102</v>
      </c>
      <c r="BE104" t="s">
        <v>130</v>
      </c>
    </row>
    <row r="105" spans="1:57" x14ac:dyDescent="0.35">
      <c r="S105">
        <v>31</v>
      </c>
      <c r="T105" t="s">
        <v>39</v>
      </c>
      <c r="U105">
        <v>1</v>
      </c>
      <c r="Y105" t="str">
        <f t="shared" si="9"/>
        <v>('1103',</v>
      </c>
      <c r="Z105" t="str">
        <f t="shared" si="10"/>
        <v>'38°C',</v>
      </c>
      <c r="AA105" t="str">
        <f t="shared" si="11"/>
        <v>'44.9°C',</v>
      </c>
      <c r="AB105" s="22" t="str">
        <f t="shared" si="12"/>
        <v>'21%',</v>
      </c>
      <c r="AC105" s="22" t="str">
        <f t="shared" si="13"/>
        <v>'40%',</v>
      </c>
      <c r="AD105" s="28" t="str">
        <f t="shared" si="14"/>
        <v>'614',</v>
      </c>
      <c r="AE105" s="28" t="str">
        <f t="shared" si="15"/>
        <v>'818',</v>
      </c>
      <c r="AF105" t="str">
        <f t="shared" si="16"/>
        <v>'103',</v>
      </c>
      <c r="AG105" t="str">
        <f t="shared" si="17"/>
        <v>'15% din umiditate este folosita pentru crestere, 85% se pierde prin evaporare si transpiratie.'),</v>
      </c>
      <c r="AL105" s="25">
        <v>6.14</v>
      </c>
      <c r="AM105" s="25">
        <v>8.18</v>
      </c>
      <c r="AX105">
        <v>1103</v>
      </c>
      <c r="AY105" t="s">
        <v>128</v>
      </c>
      <c r="AZ105" t="s">
        <v>129</v>
      </c>
      <c r="BA105" s="22">
        <v>0.21</v>
      </c>
      <c r="BB105" s="22">
        <v>0.4</v>
      </c>
      <c r="BD105">
        <v>103</v>
      </c>
      <c r="BE105" t="s">
        <v>130</v>
      </c>
    </row>
    <row r="106" spans="1:57" x14ac:dyDescent="0.35">
      <c r="S106">
        <v>32</v>
      </c>
      <c r="T106" t="s">
        <v>40</v>
      </c>
      <c r="U106">
        <v>1</v>
      </c>
      <c r="Y106" t="str">
        <f t="shared" si="9"/>
        <v>('1104',</v>
      </c>
      <c r="Z106" t="str">
        <f t="shared" si="10"/>
        <v>'38°C',</v>
      </c>
      <c r="AA106" t="str">
        <f t="shared" si="11"/>
        <v>'44.9°C',</v>
      </c>
      <c r="AB106" s="22" t="str">
        <f t="shared" si="12"/>
        <v>'21%',</v>
      </c>
      <c r="AC106" s="22" t="str">
        <f t="shared" si="13"/>
        <v>'40%',</v>
      </c>
      <c r="AD106" s="28" t="str">
        <f t="shared" si="14"/>
        <v>'614',</v>
      </c>
      <c r="AE106" s="28" t="str">
        <f t="shared" si="15"/>
        <v>'818',</v>
      </c>
      <c r="AF106" t="str">
        <f t="shared" si="16"/>
        <v>'104',</v>
      </c>
      <c r="AG106" t="str">
        <f t="shared" si="17"/>
        <v>'15% din umiditate este folosita pentru crestere, 85% se pierde prin evaporare si transpiratie.'),</v>
      </c>
      <c r="AL106" s="25">
        <v>6.14</v>
      </c>
      <c r="AM106" s="25">
        <v>8.18</v>
      </c>
      <c r="AX106">
        <v>1104</v>
      </c>
      <c r="AY106" t="s">
        <v>128</v>
      </c>
      <c r="AZ106" t="s">
        <v>129</v>
      </c>
      <c r="BA106" s="22">
        <v>0.21</v>
      </c>
      <c r="BB106" s="22">
        <v>0.4</v>
      </c>
      <c r="BD106">
        <v>104</v>
      </c>
      <c r="BE106" t="s">
        <v>130</v>
      </c>
    </row>
    <row r="107" spans="1:57" x14ac:dyDescent="0.35">
      <c r="S107">
        <v>33</v>
      </c>
      <c r="T107" t="s">
        <v>41</v>
      </c>
      <c r="U107">
        <v>1</v>
      </c>
      <c r="Y107" t="str">
        <f t="shared" si="9"/>
        <v>('1105',</v>
      </c>
      <c r="Z107" t="str">
        <f t="shared" si="10"/>
        <v>'38°C',</v>
      </c>
      <c r="AA107" t="str">
        <f t="shared" si="11"/>
        <v>'44.9°C',</v>
      </c>
      <c r="AB107" s="22" t="str">
        <f t="shared" si="12"/>
        <v>'21%',</v>
      </c>
      <c r="AC107" s="22" t="str">
        <f t="shared" si="13"/>
        <v>'40%',</v>
      </c>
      <c r="AD107" s="28" t="str">
        <f t="shared" si="14"/>
        <v>'614',</v>
      </c>
      <c r="AE107" s="28" t="str">
        <f t="shared" si="15"/>
        <v>'818',</v>
      </c>
      <c r="AF107" t="str">
        <f t="shared" si="16"/>
        <v>'105',</v>
      </c>
      <c r="AG107" t="str">
        <f t="shared" si="17"/>
        <v>'15% din umiditate este folosita pentru crestere, 85% se pierde prin evaporare si transpiratie.'),</v>
      </c>
      <c r="AL107" s="25">
        <v>6.14</v>
      </c>
      <c r="AM107" s="25">
        <v>8.18</v>
      </c>
      <c r="AX107">
        <v>1105</v>
      </c>
      <c r="AY107" t="s">
        <v>128</v>
      </c>
      <c r="AZ107" t="s">
        <v>129</v>
      </c>
      <c r="BA107" s="22">
        <v>0.21</v>
      </c>
      <c r="BB107" s="22">
        <v>0.4</v>
      </c>
      <c r="BD107">
        <v>105</v>
      </c>
      <c r="BE107" t="s">
        <v>130</v>
      </c>
    </row>
    <row r="108" spans="1:57" x14ac:dyDescent="0.35">
      <c r="S108">
        <v>34</v>
      </c>
      <c r="T108" t="s">
        <v>42</v>
      </c>
      <c r="U108">
        <v>1</v>
      </c>
      <c r="Y108" t="str">
        <f t="shared" si="9"/>
        <v>('1106',</v>
      </c>
      <c r="Z108" t="str">
        <f t="shared" si="10"/>
        <v>'38°C',</v>
      </c>
      <c r="AA108" t="str">
        <f t="shared" si="11"/>
        <v>'44.9°C',</v>
      </c>
      <c r="AB108" s="22" t="str">
        <f t="shared" si="12"/>
        <v>'21%',</v>
      </c>
      <c r="AC108" s="22" t="str">
        <f t="shared" si="13"/>
        <v>'40%',</v>
      </c>
      <c r="AD108" s="28" t="str">
        <f t="shared" si="14"/>
        <v>'614',</v>
      </c>
      <c r="AE108" s="28" t="str">
        <f t="shared" si="15"/>
        <v>'818',</v>
      </c>
      <c r="AF108" t="str">
        <f t="shared" si="16"/>
        <v>'106',</v>
      </c>
      <c r="AG108" t="str">
        <f t="shared" si="17"/>
        <v>'15% din umiditate este folosita pentru crestere, 85% se pierde prin evaporare si transpiratie.'),</v>
      </c>
      <c r="AL108" s="25">
        <v>6.14</v>
      </c>
      <c r="AM108" s="25">
        <v>8.18</v>
      </c>
      <c r="AX108">
        <v>1106</v>
      </c>
      <c r="AY108" t="s">
        <v>128</v>
      </c>
      <c r="AZ108" t="s">
        <v>129</v>
      </c>
      <c r="BA108" s="22">
        <v>0.21</v>
      </c>
      <c r="BB108" s="22">
        <v>0.4</v>
      </c>
      <c r="BD108">
        <v>106</v>
      </c>
      <c r="BE108" t="s">
        <v>130</v>
      </c>
    </row>
    <row r="109" spans="1:57" x14ac:dyDescent="0.35">
      <c r="S109">
        <v>35</v>
      </c>
      <c r="T109" t="s">
        <v>43</v>
      </c>
      <c r="U109">
        <v>1</v>
      </c>
      <c r="Y109" t="str">
        <f t="shared" si="9"/>
        <v>('1107',</v>
      </c>
      <c r="Z109" t="str">
        <f t="shared" si="10"/>
        <v>'38°C',</v>
      </c>
      <c r="AA109" t="str">
        <f t="shared" si="11"/>
        <v>'44.9°C',</v>
      </c>
      <c r="AB109" s="22" t="str">
        <f t="shared" si="12"/>
        <v>'21%',</v>
      </c>
      <c r="AC109" s="22" t="str">
        <f t="shared" si="13"/>
        <v>'40%',</v>
      </c>
      <c r="AD109" s="28" t="str">
        <f t="shared" si="14"/>
        <v>'614',</v>
      </c>
      <c r="AE109" s="28" t="str">
        <f t="shared" si="15"/>
        <v>'818',</v>
      </c>
      <c r="AF109" t="str">
        <f t="shared" si="16"/>
        <v>'107',</v>
      </c>
      <c r="AG109" t="str">
        <f t="shared" si="17"/>
        <v>'15% din umiditate este folosita pentru crestere, 85% se pierde prin evaporare si transpiratie.'),</v>
      </c>
      <c r="AL109" s="25">
        <v>6.14</v>
      </c>
      <c r="AM109" s="25">
        <v>8.18</v>
      </c>
      <c r="AX109">
        <v>1107</v>
      </c>
      <c r="AY109" t="s">
        <v>128</v>
      </c>
      <c r="AZ109" t="s">
        <v>129</v>
      </c>
      <c r="BA109" s="22">
        <v>0.21</v>
      </c>
      <c r="BB109" s="22">
        <v>0.4</v>
      </c>
      <c r="BD109">
        <v>107</v>
      </c>
      <c r="BE109" t="s">
        <v>130</v>
      </c>
    </row>
    <row r="110" spans="1:57" x14ac:dyDescent="0.35">
      <c r="S110">
        <v>36</v>
      </c>
      <c r="T110" t="s">
        <v>44</v>
      </c>
      <c r="U110">
        <v>1</v>
      </c>
      <c r="Y110" t="str">
        <f t="shared" si="9"/>
        <v>('1108',</v>
      </c>
      <c r="Z110" t="str">
        <f t="shared" si="10"/>
        <v>'38°C',</v>
      </c>
      <c r="AA110" t="str">
        <f t="shared" si="11"/>
        <v>'44.9°C',</v>
      </c>
      <c r="AB110" s="22" t="str">
        <f t="shared" si="12"/>
        <v>'21%',</v>
      </c>
      <c r="AC110" s="22" t="str">
        <f t="shared" si="13"/>
        <v>'40%',</v>
      </c>
      <c r="AD110" s="28" t="str">
        <f t="shared" si="14"/>
        <v>'614',</v>
      </c>
      <c r="AE110" s="28" t="str">
        <f t="shared" si="15"/>
        <v>'818',</v>
      </c>
      <c r="AF110" t="str">
        <f t="shared" si="16"/>
        <v>'108',</v>
      </c>
      <c r="AG110" t="str">
        <f t="shared" si="17"/>
        <v>'15% din umiditate este folosita pentru crestere, 85% se pierde prin evaporare si transpiratie.'),</v>
      </c>
      <c r="AL110" s="25">
        <v>6.14</v>
      </c>
      <c r="AM110" s="25">
        <v>8.18</v>
      </c>
      <c r="AX110">
        <v>1108</v>
      </c>
      <c r="AY110" t="s">
        <v>128</v>
      </c>
      <c r="AZ110" t="s">
        <v>129</v>
      </c>
      <c r="BA110" s="22">
        <v>0.21</v>
      </c>
      <c r="BB110" s="22">
        <v>0.4</v>
      </c>
      <c r="BD110">
        <v>108</v>
      </c>
      <c r="BE110" t="s">
        <v>130</v>
      </c>
    </row>
    <row r="111" spans="1:57" x14ac:dyDescent="0.35">
      <c r="S111">
        <v>37</v>
      </c>
      <c r="T111" t="s">
        <v>45</v>
      </c>
      <c r="U111">
        <v>1</v>
      </c>
      <c r="Y111" t="str">
        <f t="shared" si="9"/>
        <v>('1109',</v>
      </c>
      <c r="Z111" t="str">
        <f t="shared" si="10"/>
        <v>'38°C',</v>
      </c>
      <c r="AA111" t="str">
        <f t="shared" si="11"/>
        <v>'44.9°C',</v>
      </c>
      <c r="AB111" s="22" t="str">
        <f t="shared" si="12"/>
        <v>'21%',</v>
      </c>
      <c r="AC111" s="22" t="str">
        <f t="shared" si="13"/>
        <v>'40%',</v>
      </c>
      <c r="AD111" s="28" t="str">
        <f t="shared" si="14"/>
        <v>'614',</v>
      </c>
      <c r="AE111" s="28" t="str">
        <f t="shared" si="15"/>
        <v>'818',</v>
      </c>
      <c r="AF111" t="str">
        <f t="shared" si="16"/>
        <v>'109',</v>
      </c>
      <c r="AG111" t="str">
        <f t="shared" si="17"/>
        <v>'15% din umiditate este folosita pentru crestere, 85% se pierde prin evaporare si transpiratie.'),</v>
      </c>
      <c r="AL111" s="25">
        <v>6.14</v>
      </c>
      <c r="AM111" s="25">
        <v>8.18</v>
      </c>
      <c r="AX111">
        <v>1109</v>
      </c>
      <c r="AY111" t="s">
        <v>128</v>
      </c>
      <c r="AZ111" t="s">
        <v>129</v>
      </c>
      <c r="BA111" s="22">
        <v>0.21</v>
      </c>
      <c r="BB111" s="22">
        <v>0.4</v>
      </c>
      <c r="BD111">
        <v>109</v>
      </c>
      <c r="BE111" t="s">
        <v>130</v>
      </c>
    </row>
    <row r="112" spans="1:57" x14ac:dyDescent="0.35">
      <c r="S112">
        <v>38</v>
      </c>
      <c r="T112" t="s">
        <v>46</v>
      </c>
      <c r="U112">
        <v>1</v>
      </c>
      <c r="Y112" t="str">
        <f t="shared" si="9"/>
        <v>('1110',</v>
      </c>
      <c r="Z112" t="str">
        <f t="shared" si="10"/>
        <v>'38°C',</v>
      </c>
      <c r="AA112" t="str">
        <f t="shared" si="11"/>
        <v>'44.9°C',</v>
      </c>
      <c r="AB112" s="22" t="str">
        <f t="shared" si="12"/>
        <v>'21%',</v>
      </c>
      <c r="AC112" s="22" t="str">
        <f t="shared" si="13"/>
        <v>'40%',</v>
      </c>
      <c r="AD112" s="28" t="str">
        <f t="shared" si="14"/>
        <v>'614',</v>
      </c>
      <c r="AE112" s="28" t="str">
        <f t="shared" si="15"/>
        <v>'818',</v>
      </c>
      <c r="AF112" t="str">
        <f t="shared" si="16"/>
        <v>'110',</v>
      </c>
      <c r="AG112" t="str">
        <f t="shared" si="17"/>
        <v>'15% din umiditate este folosita pentru crestere, 85% se pierde prin evaporare si transpiratie.'),</v>
      </c>
      <c r="AL112" s="25">
        <v>6.14</v>
      </c>
      <c r="AM112" s="25">
        <v>8.18</v>
      </c>
      <c r="AX112">
        <v>1110</v>
      </c>
      <c r="AY112" t="s">
        <v>128</v>
      </c>
      <c r="AZ112" t="s">
        <v>129</v>
      </c>
      <c r="BA112" s="22">
        <v>0.21</v>
      </c>
      <c r="BB112" s="22">
        <v>0.4</v>
      </c>
      <c r="BD112">
        <v>110</v>
      </c>
      <c r="BE112" t="s">
        <v>130</v>
      </c>
    </row>
    <row r="113" spans="19:57" x14ac:dyDescent="0.35">
      <c r="S113">
        <v>39</v>
      </c>
      <c r="T113" t="s">
        <v>47</v>
      </c>
      <c r="U113">
        <v>1</v>
      </c>
      <c r="Y113" t="str">
        <f t="shared" si="9"/>
        <v>('1111',</v>
      </c>
      <c r="Z113" t="str">
        <f t="shared" si="10"/>
        <v>'38°C',</v>
      </c>
      <c r="AA113" t="str">
        <f t="shared" si="11"/>
        <v>'44.9°C',</v>
      </c>
      <c r="AB113" s="22" t="str">
        <f t="shared" si="12"/>
        <v>'21%',</v>
      </c>
      <c r="AC113" s="22" t="str">
        <f t="shared" si="13"/>
        <v>'40%',</v>
      </c>
      <c r="AD113" s="28" t="str">
        <f t="shared" si="14"/>
        <v>'614',</v>
      </c>
      <c r="AE113" s="28" t="str">
        <f t="shared" si="15"/>
        <v>'818',</v>
      </c>
      <c r="AF113" t="str">
        <f t="shared" si="16"/>
        <v>'111',</v>
      </c>
      <c r="AG113" t="str">
        <f t="shared" si="17"/>
        <v>'15% din umiditate este folosita pentru crestere, 85% se pierde prin evaporare si transpiratie.'),</v>
      </c>
      <c r="AL113" s="25">
        <v>6.14</v>
      </c>
      <c r="AM113" s="25">
        <v>8.18</v>
      </c>
      <c r="AX113">
        <v>1111</v>
      </c>
      <c r="AY113" t="s">
        <v>128</v>
      </c>
      <c r="AZ113" t="s">
        <v>129</v>
      </c>
      <c r="BA113" s="22">
        <v>0.21</v>
      </c>
      <c r="BB113" s="22">
        <v>0.4</v>
      </c>
      <c r="BD113">
        <v>111</v>
      </c>
      <c r="BE113" t="s">
        <v>130</v>
      </c>
    </row>
    <row r="114" spans="19:57" x14ac:dyDescent="0.35">
      <c r="S114">
        <v>4</v>
      </c>
      <c r="T114" t="s">
        <v>56</v>
      </c>
      <c r="U114">
        <v>1</v>
      </c>
      <c r="Y114" t="str">
        <f t="shared" si="9"/>
        <v>('1112',</v>
      </c>
      <c r="Z114" t="str">
        <f t="shared" si="10"/>
        <v>'38°C',</v>
      </c>
      <c r="AA114" t="str">
        <f t="shared" si="11"/>
        <v>'44.9°C',</v>
      </c>
      <c r="AB114" s="22" t="str">
        <f t="shared" si="12"/>
        <v>'21%',</v>
      </c>
      <c r="AC114" s="22" t="str">
        <f t="shared" si="13"/>
        <v>'40%',</v>
      </c>
      <c r="AD114" s="28" t="str">
        <f t="shared" si="14"/>
        <v>'819',</v>
      </c>
      <c r="AE114" s="28" t="str">
        <f t="shared" si="15"/>
        <v>'1024',</v>
      </c>
      <c r="AF114" t="str">
        <f t="shared" si="16"/>
        <v>'112',</v>
      </c>
      <c r="AG114" t="str">
        <f t="shared" si="17"/>
        <v>'15% din umiditate este folosita pentru crestere, 85% se pierde prin evaporare si transpiratie.'),</v>
      </c>
      <c r="AL114" s="25">
        <v>8.19</v>
      </c>
      <c r="AM114" s="25">
        <v>10.24</v>
      </c>
      <c r="AX114">
        <v>1112</v>
      </c>
      <c r="AY114" t="s">
        <v>128</v>
      </c>
      <c r="AZ114" t="s">
        <v>129</v>
      </c>
      <c r="BA114" s="22">
        <v>0.21</v>
      </c>
      <c r="BB114" s="22">
        <v>0.4</v>
      </c>
      <c r="BD114">
        <v>112</v>
      </c>
      <c r="BE114" t="s">
        <v>130</v>
      </c>
    </row>
    <row r="115" spans="19:57" x14ac:dyDescent="0.35">
      <c r="S115">
        <v>40</v>
      </c>
      <c r="T115" t="s">
        <v>48</v>
      </c>
      <c r="U115">
        <v>1</v>
      </c>
      <c r="Y115" t="str">
        <f t="shared" si="9"/>
        <v>('1113',</v>
      </c>
      <c r="Z115" t="str">
        <f t="shared" si="10"/>
        <v>'38°C',</v>
      </c>
      <c r="AA115" t="str">
        <f t="shared" si="11"/>
        <v>'44.9°C',</v>
      </c>
      <c r="AB115" s="22" t="str">
        <f t="shared" si="12"/>
        <v>'21%',</v>
      </c>
      <c r="AC115" s="22" t="str">
        <f t="shared" si="13"/>
        <v>'40%',</v>
      </c>
      <c r="AD115" s="28" t="str">
        <f t="shared" si="14"/>
        <v>'614',</v>
      </c>
      <c r="AE115" s="28" t="str">
        <f t="shared" si="15"/>
        <v>'818',</v>
      </c>
      <c r="AF115" t="str">
        <f t="shared" si="16"/>
        <v>'113',</v>
      </c>
      <c r="AG115" t="str">
        <f t="shared" si="17"/>
        <v>'15% din umiditate este folosita pentru crestere, 85% se pierde prin evaporare si transpiratie.'),</v>
      </c>
      <c r="AL115" s="25">
        <v>6.14</v>
      </c>
      <c r="AM115" s="25">
        <v>8.18</v>
      </c>
      <c r="AX115">
        <v>1113</v>
      </c>
      <c r="AY115" t="s">
        <v>128</v>
      </c>
      <c r="AZ115" t="s">
        <v>129</v>
      </c>
      <c r="BA115" s="22">
        <v>0.21</v>
      </c>
      <c r="BB115" s="22">
        <v>0.4</v>
      </c>
      <c r="BD115">
        <v>113</v>
      </c>
      <c r="BE115" t="s">
        <v>130</v>
      </c>
    </row>
    <row r="116" spans="19:57" x14ac:dyDescent="0.35">
      <c r="S116">
        <v>41</v>
      </c>
      <c r="T116" t="s">
        <v>49</v>
      </c>
      <c r="U116">
        <v>1</v>
      </c>
      <c r="Y116" t="str">
        <f t="shared" si="9"/>
        <v>('1114',</v>
      </c>
      <c r="Z116" t="str">
        <f t="shared" si="10"/>
        <v>'38°C',</v>
      </c>
      <c r="AA116" t="str">
        <f t="shared" si="11"/>
        <v>'44.9°C',</v>
      </c>
      <c r="AB116" s="22" t="str">
        <f t="shared" si="12"/>
        <v>'21%',</v>
      </c>
      <c r="AC116" s="22" t="str">
        <f t="shared" si="13"/>
        <v>'40%',</v>
      </c>
      <c r="AD116" s="28" t="str">
        <f t="shared" si="14"/>
        <v>'614',</v>
      </c>
      <c r="AE116" s="28" t="str">
        <f t="shared" si="15"/>
        <v>'818',</v>
      </c>
      <c r="AF116" t="str">
        <f t="shared" si="16"/>
        <v>'114',</v>
      </c>
      <c r="AG116" t="str">
        <f t="shared" si="17"/>
        <v>'15% din umiditate este folosita pentru crestere, 85% se pierde prin evaporare si transpiratie.'),</v>
      </c>
      <c r="AL116" s="25">
        <v>6.14</v>
      </c>
      <c r="AM116" s="25">
        <v>8.18</v>
      </c>
      <c r="AX116">
        <v>1114</v>
      </c>
      <c r="AY116" t="s">
        <v>128</v>
      </c>
      <c r="AZ116" t="s">
        <v>129</v>
      </c>
      <c r="BA116" s="22">
        <v>0.21</v>
      </c>
      <c r="BB116" s="22">
        <v>0.4</v>
      </c>
      <c r="BD116">
        <v>114</v>
      </c>
      <c r="BE116" t="s">
        <v>130</v>
      </c>
    </row>
    <row r="117" spans="19:57" x14ac:dyDescent="0.35">
      <c r="S117">
        <v>42</v>
      </c>
      <c r="T117" t="s">
        <v>50</v>
      </c>
      <c r="U117">
        <v>1</v>
      </c>
      <c r="Y117" t="str">
        <f t="shared" si="9"/>
        <v>('1115',</v>
      </c>
      <c r="Z117" t="str">
        <f t="shared" si="10"/>
        <v>'38°C',</v>
      </c>
      <c r="AA117" t="str">
        <f t="shared" si="11"/>
        <v>'44.9°C',</v>
      </c>
      <c r="AB117" s="22" t="str">
        <f t="shared" si="12"/>
        <v>'21%',</v>
      </c>
      <c r="AC117" s="22" t="str">
        <f t="shared" si="13"/>
        <v>'40%',</v>
      </c>
      <c r="AD117" s="28" t="str">
        <f t="shared" si="14"/>
        <v>'614',</v>
      </c>
      <c r="AE117" s="28" t="str">
        <f t="shared" si="15"/>
        <v>'818',</v>
      </c>
      <c r="AF117" t="str">
        <f t="shared" si="16"/>
        <v>'115',</v>
      </c>
      <c r="AG117" t="str">
        <f t="shared" si="17"/>
        <v>'15% din umiditate este folosita pentru crestere, 85% se pierde prin evaporare si transpiratie.'),</v>
      </c>
      <c r="AL117" s="25">
        <v>6.14</v>
      </c>
      <c r="AM117" s="25">
        <v>8.18</v>
      </c>
      <c r="AX117">
        <v>1115</v>
      </c>
      <c r="AY117" t="s">
        <v>128</v>
      </c>
      <c r="AZ117" t="s">
        <v>129</v>
      </c>
      <c r="BA117" s="22">
        <v>0.21</v>
      </c>
      <c r="BB117" s="22">
        <v>0.4</v>
      </c>
      <c r="BD117">
        <v>115</v>
      </c>
      <c r="BE117" t="s">
        <v>130</v>
      </c>
    </row>
    <row r="118" spans="19:57" x14ac:dyDescent="0.35">
      <c r="S118">
        <v>43</v>
      </c>
      <c r="T118" t="s">
        <v>51</v>
      </c>
      <c r="U118">
        <v>1</v>
      </c>
      <c r="Y118" t="str">
        <f t="shared" si="9"/>
        <v>('1116',</v>
      </c>
      <c r="Z118" t="str">
        <f t="shared" si="10"/>
        <v>'38°C',</v>
      </c>
      <c r="AA118" t="str">
        <f t="shared" si="11"/>
        <v>'44.9°C',</v>
      </c>
      <c r="AB118" s="22" t="str">
        <f t="shared" si="12"/>
        <v>'21%',</v>
      </c>
      <c r="AC118" s="22" t="str">
        <f t="shared" si="13"/>
        <v>'40%',</v>
      </c>
      <c r="AD118" s="28" t="str">
        <f t="shared" si="14"/>
        <v>'614',</v>
      </c>
      <c r="AE118" s="28" t="str">
        <f t="shared" si="15"/>
        <v>'818',</v>
      </c>
      <c r="AF118" t="str">
        <f t="shared" si="16"/>
        <v>'116',</v>
      </c>
      <c r="AG118" t="str">
        <f t="shared" si="17"/>
        <v>'15% din umiditate este folosita pentru crestere, 85% se pierde prin evaporare si transpiratie.'),</v>
      </c>
      <c r="AL118" s="25">
        <v>6.14</v>
      </c>
      <c r="AM118" s="25">
        <v>8.18</v>
      </c>
      <c r="AX118">
        <v>1116</v>
      </c>
      <c r="AY118" t="s">
        <v>128</v>
      </c>
      <c r="AZ118" t="s">
        <v>129</v>
      </c>
      <c r="BA118" s="22">
        <v>0.21</v>
      </c>
      <c r="BB118" s="22">
        <v>0.4</v>
      </c>
      <c r="BD118">
        <v>116</v>
      </c>
      <c r="BE118" t="s">
        <v>130</v>
      </c>
    </row>
    <row r="119" spans="19:57" x14ac:dyDescent="0.35">
      <c r="S119">
        <v>44</v>
      </c>
      <c r="T119" t="s">
        <v>52</v>
      </c>
      <c r="U119">
        <v>1</v>
      </c>
      <c r="Y119" t="str">
        <f t="shared" si="9"/>
        <v>('1117',</v>
      </c>
      <c r="Z119" t="str">
        <f t="shared" si="10"/>
        <v>'38°C',</v>
      </c>
      <c r="AA119" t="str">
        <f t="shared" si="11"/>
        <v>'44.9°C',</v>
      </c>
      <c r="AB119" s="22" t="str">
        <f t="shared" si="12"/>
        <v>'21%',</v>
      </c>
      <c r="AC119" s="22" t="str">
        <f t="shared" si="13"/>
        <v>'40%',</v>
      </c>
      <c r="AD119" s="28" t="str">
        <f t="shared" si="14"/>
        <v>'614',</v>
      </c>
      <c r="AE119" s="28" t="str">
        <f t="shared" si="15"/>
        <v>'818',</v>
      </c>
      <c r="AF119" t="str">
        <f t="shared" si="16"/>
        <v>'117',</v>
      </c>
      <c r="AG119" t="str">
        <f t="shared" si="17"/>
        <v>'15% din umiditate este folosita pentru crestere, 85% se pierde prin evaporare si transpiratie.'),</v>
      </c>
      <c r="AL119" s="25">
        <v>6.14</v>
      </c>
      <c r="AM119" s="25">
        <v>8.18</v>
      </c>
      <c r="AX119">
        <v>1117</v>
      </c>
      <c r="AY119" t="s">
        <v>128</v>
      </c>
      <c r="AZ119" t="s">
        <v>129</v>
      </c>
      <c r="BA119" s="22">
        <v>0.21</v>
      </c>
      <c r="BB119" s="22">
        <v>0.4</v>
      </c>
      <c r="BD119">
        <v>117</v>
      </c>
      <c r="BE119" t="s">
        <v>130</v>
      </c>
    </row>
    <row r="120" spans="19:57" x14ac:dyDescent="0.35">
      <c r="S120">
        <v>45</v>
      </c>
      <c r="T120" t="s">
        <v>53</v>
      </c>
      <c r="U120">
        <v>1</v>
      </c>
      <c r="Y120" t="str">
        <f t="shared" si="9"/>
        <v>('1118',</v>
      </c>
      <c r="Z120" t="str">
        <f t="shared" si="10"/>
        <v>'38°C',</v>
      </c>
      <c r="AA120" t="str">
        <f t="shared" si="11"/>
        <v>'44.9°C',</v>
      </c>
      <c r="AB120" s="22" t="str">
        <f t="shared" si="12"/>
        <v>'21%',</v>
      </c>
      <c r="AC120" s="22" t="str">
        <f t="shared" si="13"/>
        <v>'40%',</v>
      </c>
      <c r="AD120" s="28" t="str">
        <f t="shared" si="14"/>
        <v>'614',</v>
      </c>
      <c r="AE120" s="28" t="str">
        <f t="shared" si="15"/>
        <v>'818',</v>
      </c>
      <c r="AF120" t="str">
        <f t="shared" si="16"/>
        <v>'118',</v>
      </c>
      <c r="AG120" t="str">
        <f t="shared" si="17"/>
        <v>'15% din umiditate este folosita pentru crestere, 85% se pierde prin evaporare si transpiratie.'),</v>
      </c>
      <c r="AL120" s="25">
        <v>6.14</v>
      </c>
      <c r="AM120" s="25">
        <v>8.18</v>
      </c>
      <c r="AX120">
        <v>1118</v>
      </c>
      <c r="AY120" t="s">
        <v>128</v>
      </c>
      <c r="AZ120" t="s">
        <v>129</v>
      </c>
      <c r="BA120" s="22">
        <v>0.21</v>
      </c>
      <c r="BB120" s="22">
        <v>0.4</v>
      </c>
      <c r="BD120">
        <v>118</v>
      </c>
      <c r="BE120" t="s">
        <v>130</v>
      </c>
    </row>
    <row r="121" spans="19:57" x14ac:dyDescent="0.35">
      <c r="S121">
        <v>46</v>
      </c>
      <c r="T121" t="s">
        <v>54</v>
      </c>
      <c r="U121">
        <v>1</v>
      </c>
      <c r="Y121" t="str">
        <f t="shared" si="9"/>
        <v>('1119',</v>
      </c>
      <c r="Z121" t="str">
        <f t="shared" si="10"/>
        <v>'38°C',</v>
      </c>
      <c r="AA121" t="str">
        <f t="shared" si="11"/>
        <v>'44.9°C',</v>
      </c>
      <c r="AB121" s="22" t="str">
        <f t="shared" si="12"/>
        <v>'21%',</v>
      </c>
      <c r="AC121" s="22" t="str">
        <f t="shared" si="13"/>
        <v>'40%',</v>
      </c>
      <c r="AD121" s="28" t="str">
        <f t="shared" si="14"/>
        <v>'614',</v>
      </c>
      <c r="AE121" s="28" t="str">
        <f t="shared" si="15"/>
        <v>'818',</v>
      </c>
      <c r="AF121" t="str">
        <f t="shared" si="16"/>
        <v>'119',</v>
      </c>
      <c r="AG121" t="str">
        <f t="shared" si="17"/>
        <v>'15% din umiditate este folosita pentru crestere, 85% se pierde prin evaporare si transpiratie.'),</v>
      </c>
      <c r="AL121" s="25">
        <v>6.14</v>
      </c>
      <c r="AM121" s="25">
        <v>8.18</v>
      </c>
      <c r="AX121">
        <v>1119</v>
      </c>
      <c r="AY121" t="s">
        <v>128</v>
      </c>
      <c r="AZ121" t="s">
        <v>129</v>
      </c>
      <c r="BA121" s="22">
        <v>0.21</v>
      </c>
      <c r="BB121" s="22">
        <v>0.4</v>
      </c>
      <c r="BD121">
        <v>119</v>
      </c>
      <c r="BE121" t="s">
        <v>130</v>
      </c>
    </row>
    <row r="122" spans="19:57" x14ac:dyDescent="0.35">
      <c r="S122">
        <v>47</v>
      </c>
      <c r="T122" t="s">
        <v>55</v>
      </c>
      <c r="U122">
        <v>1</v>
      </c>
      <c r="Y122" t="str">
        <f t="shared" si="9"/>
        <v>('1120',</v>
      </c>
      <c r="Z122" t="str">
        <f t="shared" si="10"/>
        <v>'38°C',</v>
      </c>
      <c r="AA122" t="str">
        <f t="shared" si="11"/>
        <v>'44.9°C',</v>
      </c>
      <c r="AB122" s="22" t="str">
        <f t="shared" si="12"/>
        <v>'21%',</v>
      </c>
      <c r="AC122" s="22" t="str">
        <f t="shared" si="13"/>
        <v>'40%',</v>
      </c>
      <c r="AD122" s="28" t="str">
        <f t="shared" si="14"/>
        <v>'614',</v>
      </c>
      <c r="AE122" s="28" t="str">
        <f t="shared" si="15"/>
        <v>'818',</v>
      </c>
      <c r="AF122" t="str">
        <f t="shared" si="16"/>
        <v>'120',</v>
      </c>
      <c r="AG122" t="str">
        <f t="shared" si="17"/>
        <v>'15% din umiditate este folosita pentru crestere, 85% se pierde prin evaporare si transpiratie.'),</v>
      </c>
      <c r="AL122" s="25">
        <v>6.14</v>
      </c>
      <c r="AM122" s="25">
        <v>8.18</v>
      </c>
      <c r="AX122">
        <v>1120</v>
      </c>
      <c r="AY122" t="s">
        <v>128</v>
      </c>
      <c r="AZ122" t="s">
        <v>129</v>
      </c>
      <c r="BA122" s="22">
        <v>0.21</v>
      </c>
      <c r="BB122" s="22">
        <v>0.4</v>
      </c>
      <c r="BD122">
        <v>120</v>
      </c>
      <c r="BE122" t="s">
        <v>130</v>
      </c>
    </row>
    <row r="123" spans="19:57" x14ac:dyDescent="0.35">
      <c r="S123">
        <v>48</v>
      </c>
      <c r="T123" t="s">
        <v>56</v>
      </c>
      <c r="U123">
        <v>1</v>
      </c>
      <c r="Y123" t="str">
        <f t="shared" si="9"/>
        <v>('1121',</v>
      </c>
      <c r="Z123" t="str">
        <f t="shared" si="10"/>
        <v>'38°C',</v>
      </c>
      <c r="AA123" t="str">
        <f t="shared" si="11"/>
        <v>'44.9°C',</v>
      </c>
      <c r="AB123" s="22" t="str">
        <f t="shared" si="12"/>
        <v>'21%',</v>
      </c>
      <c r="AC123" s="22" t="str">
        <f t="shared" si="13"/>
        <v>'40%',</v>
      </c>
      <c r="AD123" s="28" t="str">
        <f t="shared" si="14"/>
        <v>'614',</v>
      </c>
      <c r="AE123" s="28" t="str">
        <f t="shared" si="15"/>
        <v>'818',</v>
      </c>
      <c r="AF123" t="str">
        <f t="shared" si="16"/>
        <v>'121',</v>
      </c>
      <c r="AG123" t="str">
        <f t="shared" si="17"/>
        <v>'15% din umiditate este folosita pentru crestere, 85% se pierde prin evaporare si transpiratie.'),</v>
      </c>
      <c r="AL123" s="25">
        <v>6.14</v>
      </c>
      <c r="AM123" s="25">
        <v>8.18</v>
      </c>
      <c r="AX123">
        <v>1121</v>
      </c>
      <c r="AY123" t="s">
        <v>128</v>
      </c>
      <c r="AZ123" t="s">
        <v>129</v>
      </c>
      <c r="BA123" s="22">
        <v>0.21</v>
      </c>
      <c r="BB123" s="22">
        <v>0.4</v>
      </c>
      <c r="BD123">
        <v>121</v>
      </c>
      <c r="BE123" t="s">
        <v>130</v>
      </c>
    </row>
    <row r="124" spans="19:57" x14ac:dyDescent="0.35">
      <c r="S124">
        <v>49</v>
      </c>
      <c r="T124" t="s">
        <v>58</v>
      </c>
      <c r="U124">
        <v>1</v>
      </c>
      <c r="Y124" t="str">
        <f t="shared" si="9"/>
        <v>('1122',</v>
      </c>
      <c r="Z124" t="str">
        <f t="shared" si="10"/>
        <v>'38°C',</v>
      </c>
      <c r="AA124" t="str">
        <f t="shared" si="11"/>
        <v>'44.9°C',</v>
      </c>
      <c r="AB124" s="22" t="str">
        <f t="shared" si="12"/>
        <v>'21%',</v>
      </c>
      <c r="AC124" s="22" t="str">
        <f t="shared" si="13"/>
        <v>'40%',</v>
      </c>
      <c r="AD124" s="28" t="str">
        <f t="shared" si="14"/>
        <v>'614',</v>
      </c>
      <c r="AE124" s="28" t="str">
        <f t="shared" si="15"/>
        <v>'818',</v>
      </c>
      <c r="AF124" t="str">
        <f t="shared" si="16"/>
        <v>'122',</v>
      </c>
      <c r="AG124" t="str">
        <f t="shared" si="17"/>
        <v>'15% din umiditate este folosita pentru crestere, 85% se pierde prin evaporare si transpiratie.'),</v>
      </c>
      <c r="AL124" s="25">
        <v>6.14</v>
      </c>
      <c r="AM124" s="25">
        <v>8.18</v>
      </c>
      <c r="AX124">
        <v>1122</v>
      </c>
      <c r="AY124" t="s">
        <v>128</v>
      </c>
      <c r="AZ124" t="s">
        <v>129</v>
      </c>
      <c r="BA124" s="22">
        <v>0.21</v>
      </c>
      <c r="BB124" s="22">
        <v>0.4</v>
      </c>
      <c r="BD124">
        <v>122</v>
      </c>
      <c r="BE124" t="s">
        <v>130</v>
      </c>
    </row>
    <row r="125" spans="19:57" x14ac:dyDescent="0.35">
      <c r="S125">
        <v>5</v>
      </c>
      <c r="T125" t="s">
        <v>57</v>
      </c>
      <c r="U125">
        <v>1</v>
      </c>
      <c r="Y125" t="str">
        <f t="shared" si="9"/>
        <v>('1123',</v>
      </c>
      <c r="Z125" t="str">
        <f t="shared" si="10"/>
        <v>'38°C',</v>
      </c>
      <c r="AA125" t="str">
        <f t="shared" si="11"/>
        <v>'44.9°C',</v>
      </c>
      <c r="AB125" s="22" t="str">
        <f t="shared" si="12"/>
        <v>'21%',</v>
      </c>
      <c r="AC125" s="22" t="str">
        <f t="shared" si="13"/>
        <v>'40%',</v>
      </c>
      <c r="AD125" s="28" t="str">
        <f t="shared" si="14"/>
        <v>'819',</v>
      </c>
      <c r="AE125" s="28" t="str">
        <f t="shared" si="15"/>
        <v>'1024',</v>
      </c>
      <c r="AF125" t="str">
        <f t="shared" si="16"/>
        <v>'123',</v>
      </c>
      <c r="AG125" t="str">
        <f t="shared" si="17"/>
        <v>'15% din umiditate este folosita pentru crestere, 85% se pierde prin evaporare si transpiratie.'),</v>
      </c>
      <c r="AL125" s="25">
        <v>8.19</v>
      </c>
      <c r="AM125" s="25">
        <v>10.24</v>
      </c>
      <c r="AX125">
        <v>1123</v>
      </c>
      <c r="AY125" t="s">
        <v>128</v>
      </c>
      <c r="AZ125" t="s">
        <v>129</v>
      </c>
      <c r="BA125" s="22">
        <v>0.21</v>
      </c>
      <c r="BB125" s="22">
        <v>0.4</v>
      </c>
      <c r="BD125">
        <v>123</v>
      </c>
      <c r="BE125" t="s">
        <v>130</v>
      </c>
    </row>
    <row r="126" spans="19:57" x14ac:dyDescent="0.35">
      <c r="S126">
        <v>50</v>
      </c>
      <c r="T126" t="s">
        <v>4</v>
      </c>
      <c r="U126">
        <v>1</v>
      </c>
      <c r="Y126" t="str">
        <f t="shared" si="9"/>
        <v>('1124',</v>
      </c>
      <c r="Z126" t="str">
        <f t="shared" si="10"/>
        <v>'38°C',</v>
      </c>
      <c r="AA126" t="str">
        <f t="shared" si="11"/>
        <v>'44.9°C',</v>
      </c>
      <c r="AB126" s="22" t="str">
        <f t="shared" si="12"/>
        <v>'21%',</v>
      </c>
      <c r="AC126" s="22" t="str">
        <f t="shared" si="13"/>
        <v>'40%',</v>
      </c>
      <c r="AD126" s="28" t="str">
        <f t="shared" si="14"/>
        <v>'410',</v>
      </c>
      <c r="AE126" s="28" t="str">
        <f t="shared" si="15"/>
        <v>'613',</v>
      </c>
      <c r="AF126" t="str">
        <f t="shared" si="16"/>
        <v>'124',</v>
      </c>
      <c r="AG126" t="str">
        <f t="shared" si="17"/>
        <v>'15% din umiditate este folosita pentru crestere, 85% se pierde prin evaporare si transpiratie.'),</v>
      </c>
      <c r="AL126" s="25">
        <v>4.0999999999999996</v>
      </c>
      <c r="AM126" s="25">
        <v>6.13</v>
      </c>
      <c r="AX126">
        <v>1124</v>
      </c>
      <c r="AY126" t="s">
        <v>128</v>
      </c>
      <c r="AZ126" t="s">
        <v>129</v>
      </c>
      <c r="BA126" s="22">
        <v>0.21</v>
      </c>
      <c r="BB126" s="22">
        <v>0.4</v>
      </c>
      <c r="BD126">
        <v>124</v>
      </c>
      <c r="BE126" t="s">
        <v>130</v>
      </c>
    </row>
    <row r="127" spans="19:57" x14ac:dyDescent="0.35">
      <c r="S127">
        <v>51</v>
      </c>
      <c r="T127" t="s">
        <v>5</v>
      </c>
      <c r="U127">
        <v>1</v>
      </c>
      <c r="Y127" t="str">
        <f t="shared" si="9"/>
        <v>('1125',</v>
      </c>
      <c r="Z127" t="str">
        <f t="shared" si="10"/>
        <v>'38°C',</v>
      </c>
      <c r="AA127" t="str">
        <f t="shared" si="11"/>
        <v>'44.9°C',</v>
      </c>
      <c r="AB127" s="22" t="str">
        <f t="shared" si="12"/>
        <v>'21%',</v>
      </c>
      <c r="AC127" s="22" t="str">
        <f t="shared" si="13"/>
        <v>'40%',</v>
      </c>
      <c r="AD127" s="28" t="str">
        <f t="shared" si="14"/>
        <v>'410',</v>
      </c>
      <c r="AE127" s="28" t="str">
        <f t="shared" si="15"/>
        <v>'613',</v>
      </c>
      <c r="AF127" t="str">
        <f t="shared" si="16"/>
        <v>'125',</v>
      </c>
      <c r="AG127" t="str">
        <f t="shared" si="17"/>
        <v>'15% din umiditate este folosita pentru crestere, 85% se pierde prin evaporare si transpiratie.'),</v>
      </c>
      <c r="AL127" s="25">
        <v>4.0999999999999996</v>
      </c>
      <c r="AM127" s="25">
        <v>6.13</v>
      </c>
      <c r="AX127">
        <v>1125</v>
      </c>
      <c r="AY127" t="s">
        <v>128</v>
      </c>
      <c r="AZ127" t="s">
        <v>129</v>
      </c>
      <c r="BA127" s="22">
        <v>0.21</v>
      </c>
      <c r="BB127" s="22">
        <v>0.4</v>
      </c>
      <c r="BD127">
        <v>125</v>
      </c>
      <c r="BE127" t="s">
        <v>130</v>
      </c>
    </row>
    <row r="128" spans="19:57" x14ac:dyDescent="0.35">
      <c r="S128">
        <v>52</v>
      </c>
      <c r="T128" t="s">
        <v>12</v>
      </c>
      <c r="U128">
        <v>1</v>
      </c>
      <c r="Y128" t="str">
        <f t="shared" si="9"/>
        <v>('1126',</v>
      </c>
      <c r="Z128" t="str">
        <f t="shared" si="10"/>
        <v>'38°C',</v>
      </c>
      <c r="AA128" t="str">
        <f t="shared" si="11"/>
        <v>'44.9°C',</v>
      </c>
      <c r="AB128" s="22" t="str">
        <f t="shared" si="12"/>
        <v>'21%',</v>
      </c>
      <c r="AC128" s="22" t="str">
        <f t="shared" si="13"/>
        <v>'40%',</v>
      </c>
      <c r="AD128" s="28" t="str">
        <f t="shared" si="14"/>
        <v>'410',</v>
      </c>
      <c r="AE128" s="28" t="str">
        <f t="shared" si="15"/>
        <v>'613',</v>
      </c>
      <c r="AF128" t="str">
        <f t="shared" si="16"/>
        <v>'126',</v>
      </c>
      <c r="AG128" t="str">
        <f t="shared" si="17"/>
        <v>'15% din umiditate este folosita pentru crestere, 85% se pierde prin evaporare si transpiratie.'),</v>
      </c>
      <c r="AL128" s="25">
        <v>4.0999999999999996</v>
      </c>
      <c r="AM128" s="25">
        <v>6.13</v>
      </c>
      <c r="AX128">
        <v>1126</v>
      </c>
      <c r="AY128" t="s">
        <v>128</v>
      </c>
      <c r="AZ128" t="s">
        <v>129</v>
      </c>
      <c r="BA128" s="22">
        <v>0.21</v>
      </c>
      <c r="BB128" s="22">
        <v>0.4</v>
      </c>
      <c r="BD128">
        <v>126</v>
      </c>
      <c r="BE128" t="s">
        <v>130</v>
      </c>
    </row>
    <row r="129" spans="19:57" x14ac:dyDescent="0.35">
      <c r="S129">
        <v>53</v>
      </c>
      <c r="T129" t="s">
        <v>13</v>
      </c>
      <c r="U129">
        <v>1</v>
      </c>
      <c r="Y129" t="str">
        <f t="shared" si="9"/>
        <v>('1127',</v>
      </c>
      <c r="Z129" t="str">
        <f t="shared" si="10"/>
        <v>'38°C',</v>
      </c>
      <c r="AA129" t="str">
        <f t="shared" si="11"/>
        <v>'44.9°C',</v>
      </c>
      <c r="AB129" s="22" t="str">
        <f t="shared" si="12"/>
        <v>'21%',</v>
      </c>
      <c r="AC129" s="22" t="str">
        <f t="shared" si="13"/>
        <v>'40%',</v>
      </c>
      <c r="AD129" s="28" t="str">
        <f t="shared" si="14"/>
        <v>'410',</v>
      </c>
      <c r="AE129" s="28" t="str">
        <f t="shared" si="15"/>
        <v>'613',</v>
      </c>
      <c r="AF129" t="str">
        <f t="shared" si="16"/>
        <v>'127',</v>
      </c>
      <c r="AG129" t="str">
        <f t="shared" si="17"/>
        <v>'15% din umiditate este folosita pentru crestere, 85% se pierde prin evaporare si transpiratie.'),</v>
      </c>
      <c r="AL129" s="25">
        <v>4.0999999999999996</v>
      </c>
      <c r="AM129" s="25">
        <v>6.13</v>
      </c>
      <c r="AX129">
        <v>1127</v>
      </c>
      <c r="AY129" t="s">
        <v>128</v>
      </c>
      <c r="AZ129" t="s">
        <v>129</v>
      </c>
      <c r="BA129" s="22">
        <v>0.21</v>
      </c>
      <c r="BB129" s="22">
        <v>0.4</v>
      </c>
      <c r="BD129">
        <v>127</v>
      </c>
      <c r="BE129" t="s">
        <v>130</v>
      </c>
    </row>
    <row r="130" spans="19:57" x14ac:dyDescent="0.35">
      <c r="S130">
        <v>54</v>
      </c>
      <c r="T130" t="s">
        <v>15</v>
      </c>
      <c r="U130">
        <v>1</v>
      </c>
      <c r="Y130" t="str">
        <f t="shared" si="9"/>
        <v>('1128',</v>
      </c>
      <c r="Z130" t="str">
        <f t="shared" si="10"/>
        <v>'38°C',</v>
      </c>
      <c r="AA130" t="str">
        <f t="shared" si="11"/>
        <v>'44.9°C',</v>
      </c>
      <c r="AB130" s="22" t="str">
        <f t="shared" si="12"/>
        <v>'21%',</v>
      </c>
      <c r="AC130" s="22" t="str">
        <f t="shared" si="13"/>
        <v>'40%',</v>
      </c>
      <c r="AD130" s="28" t="str">
        <f t="shared" si="14"/>
        <v>'410',</v>
      </c>
      <c r="AE130" s="28" t="str">
        <f t="shared" si="15"/>
        <v>'613',</v>
      </c>
      <c r="AF130" t="str">
        <f t="shared" si="16"/>
        <v>'128',</v>
      </c>
      <c r="AG130" t="str">
        <f t="shared" si="17"/>
        <v>'15% din umiditate este folosita pentru crestere, 85% se pierde prin evaporare si transpiratie.'),</v>
      </c>
      <c r="AL130" s="25">
        <v>4.0999999999999996</v>
      </c>
      <c r="AM130" s="25">
        <v>6.13</v>
      </c>
      <c r="AX130">
        <v>1128</v>
      </c>
      <c r="AY130" t="s">
        <v>128</v>
      </c>
      <c r="AZ130" t="s">
        <v>129</v>
      </c>
      <c r="BA130" s="22">
        <v>0.21</v>
      </c>
      <c r="BB130" s="22">
        <v>0.4</v>
      </c>
      <c r="BD130">
        <v>128</v>
      </c>
      <c r="BE130" t="s">
        <v>130</v>
      </c>
    </row>
    <row r="131" spans="19:57" x14ac:dyDescent="0.35">
      <c r="S131">
        <v>55</v>
      </c>
      <c r="T131" t="s">
        <v>17</v>
      </c>
      <c r="U131">
        <v>1</v>
      </c>
      <c r="Y131" t="str">
        <f t="shared" si="9"/>
        <v>('1129',</v>
      </c>
      <c r="Z131" t="str">
        <f t="shared" si="10"/>
        <v>'38°C',</v>
      </c>
      <c r="AA131" t="str">
        <f t="shared" si="11"/>
        <v>'44.9°C',</v>
      </c>
      <c r="AB131" s="22" t="str">
        <f t="shared" si="12"/>
        <v>'21%',</v>
      </c>
      <c r="AC131" s="22" t="str">
        <f t="shared" si="13"/>
        <v>'40%',</v>
      </c>
      <c r="AD131" s="28" t="str">
        <f t="shared" si="14"/>
        <v>'410',</v>
      </c>
      <c r="AE131" s="28" t="str">
        <f t="shared" si="15"/>
        <v>'613',</v>
      </c>
      <c r="AF131" t="str">
        <f t="shared" si="16"/>
        <v>'129',</v>
      </c>
      <c r="AG131" t="str">
        <f t="shared" si="17"/>
        <v>'15% din umiditate este folosita pentru crestere, 85% se pierde prin evaporare si transpiratie.'),</v>
      </c>
      <c r="AL131" s="25">
        <v>4.0999999999999996</v>
      </c>
      <c r="AM131" s="25">
        <v>6.13</v>
      </c>
      <c r="AX131">
        <v>1129</v>
      </c>
      <c r="AY131" t="s">
        <v>128</v>
      </c>
      <c r="AZ131" t="s">
        <v>129</v>
      </c>
      <c r="BA131" s="22">
        <v>0.21</v>
      </c>
      <c r="BB131" s="22">
        <v>0.4</v>
      </c>
      <c r="BD131">
        <v>129</v>
      </c>
      <c r="BE131" t="s">
        <v>130</v>
      </c>
    </row>
    <row r="132" spans="19:57" x14ac:dyDescent="0.35">
      <c r="S132">
        <v>56</v>
      </c>
      <c r="T132" t="s">
        <v>18</v>
      </c>
      <c r="U132">
        <v>1</v>
      </c>
      <c r="Y132" t="str">
        <f t="shared" ref="Y132:Y179" si="18" xml:space="preserve"> "("&amp;"'"&amp;AX132 &amp;"'"&amp;","</f>
        <v>('1130',</v>
      </c>
      <c r="Z132" t="str">
        <f t="shared" ref="Z132:Z179" si="19" xml:space="preserve"> "'"&amp;AY132&amp;"'"&amp;","</f>
        <v>'38°C',</v>
      </c>
      <c r="AA132" t="str">
        <f t="shared" ref="AA132:AA179" si="20" xml:space="preserve"> "'"&amp;AZ132&amp;"'"&amp;","</f>
        <v>'44.9°C',</v>
      </c>
      <c r="AB132" s="22" t="str">
        <f t="shared" ref="AB132:AB179" si="21" xml:space="preserve"> "'"&amp;BA132*100&amp;"%"&amp;"'"&amp;","</f>
        <v>'21%',</v>
      </c>
      <c r="AC132" s="22" t="str">
        <f t="shared" ref="AC132:AC179" si="22" xml:space="preserve"> "'"&amp;BB132*100&amp;"%"&amp;"'"&amp;","</f>
        <v>'40%',</v>
      </c>
      <c r="AD132" s="28" t="str">
        <f t="shared" ref="AD132:AD179" si="23" xml:space="preserve"> "'"&amp;AL132 *100&amp;"'"&amp;","</f>
        <v>'410',</v>
      </c>
      <c r="AE132" s="28" t="str">
        <f t="shared" ref="AE132:AE179" si="24" xml:space="preserve"> "'"&amp;AM132 *100&amp;"'"&amp;","</f>
        <v>'613',</v>
      </c>
      <c r="AF132" t="str">
        <f t="shared" ref="AF132:AF179" si="25" xml:space="preserve"> "'"&amp;BD132&amp;"'"&amp;","</f>
        <v>'130',</v>
      </c>
      <c r="AG132" t="str">
        <f t="shared" ref="AG132:AG179" si="26" xml:space="preserve"> "'"&amp;BE132&amp;"'"&amp;")"&amp;","</f>
        <v>'15% din umiditate este folosita pentru crestere, 85% se pierde prin evaporare si transpiratie.'),</v>
      </c>
      <c r="AL132" s="25">
        <v>4.0999999999999996</v>
      </c>
      <c r="AM132" s="25">
        <v>6.13</v>
      </c>
      <c r="AX132">
        <v>1130</v>
      </c>
      <c r="AY132" t="s">
        <v>128</v>
      </c>
      <c r="AZ132" t="s">
        <v>129</v>
      </c>
      <c r="BA132" s="22">
        <v>0.21</v>
      </c>
      <c r="BB132" s="22">
        <v>0.4</v>
      </c>
      <c r="BD132">
        <v>130</v>
      </c>
      <c r="BE132" t="s">
        <v>130</v>
      </c>
    </row>
    <row r="133" spans="19:57" x14ac:dyDescent="0.35">
      <c r="S133">
        <v>57</v>
      </c>
      <c r="T133" t="s">
        <v>19</v>
      </c>
      <c r="U133">
        <v>1</v>
      </c>
      <c r="Y133" t="str">
        <f t="shared" si="18"/>
        <v>('1131',</v>
      </c>
      <c r="Z133" t="str">
        <f t="shared" si="19"/>
        <v>'38°C',</v>
      </c>
      <c r="AA133" t="str">
        <f t="shared" si="20"/>
        <v>'44.9°C',</v>
      </c>
      <c r="AB133" s="22" t="str">
        <f t="shared" si="21"/>
        <v>'21%',</v>
      </c>
      <c r="AC133" s="22" t="str">
        <f t="shared" si="22"/>
        <v>'40%',</v>
      </c>
      <c r="AD133" s="28" t="str">
        <f t="shared" si="23"/>
        <v>'410',</v>
      </c>
      <c r="AE133" s="28" t="str">
        <f t="shared" si="24"/>
        <v>'613',</v>
      </c>
      <c r="AF133" t="str">
        <f t="shared" si="25"/>
        <v>'131',</v>
      </c>
      <c r="AG133" t="str">
        <f t="shared" si="26"/>
        <v>'15% din umiditate este folosita pentru crestere, 85% se pierde prin evaporare si transpiratie.'),</v>
      </c>
      <c r="AL133" s="25">
        <v>4.0999999999999996</v>
      </c>
      <c r="AM133" s="25">
        <v>6.13</v>
      </c>
      <c r="AX133">
        <v>1131</v>
      </c>
      <c r="AY133" t="s">
        <v>128</v>
      </c>
      <c r="AZ133" t="s">
        <v>129</v>
      </c>
      <c r="BA133" s="22">
        <v>0.21</v>
      </c>
      <c r="BB133" s="22">
        <v>0.4</v>
      </c>
      <c r="BD133">
        <v>131</v>
      </c>
      <c r="BE133" t="s">
        <v>130</v>
      </c>
    </row>
    <row r="134" spans="19:57" x14ac:dyDescent="0.35">
      <c r="S134">
        <v>58</v>
      </c>
      <c r="T134" t="s">
        <v>20</v>
      </c>
      <c r="U134">
        <v>1</v>
      </c>
      <c r="Y134" t="str">
        <f t="shared" si="18"/>
        <v>('1132',</v>
      </c>
      <c r="Z134" t="str">
        <f t="shared" si="19"/>
        <v>'32°C',</v>
      </c>
      <c r="AA134" t="str">
        <f t="shared" si="20"/>
        <v>'37.9°C',</v>
      </c>
      <c r="AB134" s="22" t="str">
        <f t="shared" si="21"/>
        <v>'41%',</v>
      </c>
      <c r="AC134" s="22" t="str">
        <f t="shared" si="22"/>
        <v>'60%',</v>
      </c>
      <c r="AD134" s="28" t="str">
        <f t="shared" si="23"/>
        <v>'410',</v>
      </c>
      <c r="AE134" s="28" t="str">
        <f t="shared" si="24"/>
        <v>'613',</v>
      </c>
      <c r="AF134" t="str">
        <f t="shared" si="25"/>
        <v>'132',</v>
      </c>
      <c r="AG134" t="str">
        <f t="shared" si="26"/>
        <v>'Cresterea plantelor incetineste.'),</v>
      </c>
      <c r="AL134" s="25">
        <v>4.0999999999999996</v>
      </c>
      <c r="AM134" s="25">
        <v>6.13</v>
      </c>
      <c r="AX134">
        <v>1132</v>
      </c>
      <c r="AY134" t="s">
        <v>131</v>
      </c>
      <c r="AZ134" t="s">
        <v>132</v>
      </c>
      <c r="BA134" s="22">
        <v>0.41</v>
      </c>
      <c r="BB134" s="22">
        <v>0.6</v>
      </c>
      <c r="BD134">
        <v>132</v>
      </c>
      <c r="BE134" t="s">
        <v>133</v>
      </c>
    </row>
    <row r="135" spans="19:57" x14ac:dyDescent="0.35">
      <c r="S135">
        <v>59</v>
      </c>
      <c r="T135" t="s">
        <v>21</v>
      </c>
      <c r="U135">
        <v>1</v>
      </c>
      <c r="Y135" t="str">
        <f t="shared" si="18"/>
        <v>('1133',</v>
      </c>
      <c r="Z135" t="str">
        <f t="shared" si="19"/>
        <v>'32°C',</v>
      </c>
      <c r="AA135" t="str">
        <f t="shared" si="20"/>
        <v>'37.9°C',</v>
      </c>
      <c r="AB135" s="22" t="str">
        <f t="shared" si="21"/>
        <v>'41%',</v>
      </c>
      <c r="AC135" s="22" t="str">
        <f t="shared" si="22"/>
        <v>'60%',</v>
      </c>
      <c r="AD135" s="28" t="str">
        <f t="shared" si="23"/>
        <v>'410',</v>
      </c>
      <c r="AE135" s="28" t="str">
        <f t="shared" si="24"/>
        <v>'613',</v>
      </c>
      <c r="AF135" t="str">
        <f t="shared" si="25"/>
        <v>'133',</v>
      </c>
      <c r="AG135" t="str">
        <f t="shared" si="26"/>
        <v>'Cresterea plantelor incetineste.'),</v>
      </c>
      <c r="AL135" s="25">
        <v>4.0999999999999996</v>
      </c>
      <c r="AM135" s="25">
        <v>6.13</v>
      </c>
      <c r="AX135">
        <v>1133</v>
      </c>
      <c r="AY135" t="s">
        <v>131</v>
      </c>
      <c r="AZ135" t="s">
        <v>132</v>
      </c>
      <c r="BA135" s="22">
        <v>0.41</v>
      </c>
      <c r="BB135" s="22">
        <v>0.6</v>
      </c>
      <c r="BD135">
        <v>133</v>
      </c>
      <c r="BE135" t="s">
        <v>133</v>
      </c>
    </row>
    <row r="136" spans="19:57" x14ac:dyDescent="0.35">
      <c r="S136">
        <v>6</v>
      </c>
      <c r="T136" t="s">
        <v>6</v>
      </c>
      <c r="U136">
        <v>1</v>
      </c>
      <c r="Y136" t="str">
        <f t="shared" si="18"/>
        <v>('1134',</v>
      </c>
      <c r="Z136" t="str">
        <f t="shared" si="19"/>
        <v>'32°C',</v>
      </c>
      <c r="AA136" t="str">
        <f t="shared" si="20"/>
        <v>'37.9°C',</v>
      </c>
      <c r="AB136" s="22" t="str">
        <f t="shared" si="21"/>
        <v>'41%',</v>
      </c>
      <c r="AC136" s="22" t="str">
        <f t="shared" si="22"/>
        <v>'60%',</v>
      </c>
      <c r="AD136" s="28" t="str">
        <f t="shared" si="23"/>
        <v>'614',</v>
      </c>
      <c r="AE136" s="28" t="str">
        <f t="shared" si="24"/>
        <v>'818',</v>
      </c>
      <c r="AF136" t="str">
        <f t="shared" si="25"/>
        <v>'134',</v>
      </c>
      <c r="AG136" t="str">
        <f t="shared" si="26"/>
        <v>'Cresterea plantelor incetineste.'),</v>
      </c>
      <c r="AL136" s="25">
        <v>6.14</v>
      </c>
      <c r="AM136" s="25">
        <v>8.18</v>
      </c>
      <c r="AX136">
        <v>1134</v>
      </c>
      <c r="AY136" t="s">
        <v>131</v>
      </c>
      <c r="AZ136" t="s">
        <v>132</v>
      </c>
      <c r="BA136" s="22">
        <v>0.41</v>
      </c>
      <c r="BB136" s="22">
        <v>0.6</v>
      </c>
      <c r="BD136">
        <v>134</v>
      </c>
      <c r="BE136" t="s">
        <v>133</v>
      </c>
    </row>
    <row r="137" spans="19:57" x14ac:dyDescent="0.35">
      <c r="S137">
        <v>60</v>
      </c>
      <c r="T137" t="s">
        <v>22</v>
      </c>
      <c r="U137">
        <v>1</v>
      </c>
      <c r="Y137" t="str">
        <f t="shared" si="18"/>
        <v>('1135',</v>
      </c>
      <c r="Z137" t="str">
        <f t="shared" si="19"/>
        <v>'32°C',</v>
      </c>
      <c r="AA137" t="str">
        <f t="shared" si="20"/>
        <v>'37.9°C',</v>
      </c>
      <c r="AB137" s="22" t="str">
        <f t="shared" si="21"/>
        <v>'41%',</v>
      </c>
      <c r="AC137" s="22" t="str">
        <f t="shared" si="22"/>
        <v>'60%',</v>
      </c>
      <c r="AD137" s="28" t="str">
        <f t="shared" si="23"/>
        <v>'410',</v>
      </c>
      <c r="AE137" s="28" t="str">
        <f t="shared" si="24"/>
        <v>'613',</v>
      </c>
      <c r="AF137" t="str">
        <f t="shared" si="25"/>
        <v>'135',</v>
      </c>
      <c r="AG137" t="str">
        <f t="shared" si="26"/>
        <v>'Cresterea plantelor incetineste.'),</v>
      </c>
      <c r="AL137" s="25">
        <v>4.0999999999999996</v>
      </c>
      <c r="AM137" s="25">
        <v>6.13</v>
      </c>
      <c r="AX137">
        <v>1135</v>
      </c>
      <c r="AY137" t="s">
        <v>131</v>
      </c>
      <c r="AZ137" t="s">
        <v>132</v>
      </c>
      <c r="BA137" s="22">
        <v>0.41</v>
      </c>
      <c r="BB137" s="22">
        <v>0.6</v>
      </c>
      <c r="BD137">
        <v>135</v>
      </c>
      <c r="BE137" t="s">
        <v>133</v>
      </c>
    </row>
    <row r="138" spans="19:57" x14ac:dyDescent="0.35">
      <c r="S138">
        <v>61</v>
      </c>
      <c r="T138" t="s">
        <v>59</v>
      </c>
      <c r="U138">
        <v>1</v>
      </c>
      <c r="Y138" t="str">
        <f t="shared" si="18"/>
        <v>('1136',</v>
      </c>
      <c r="Z138" t="str">
        <f t="shared" si="19"/>
        <v>'32°C',</v>
      </c>
      <c r="AA138" t="str">
        <f t="shared" si="20"/>
        <v>'37.9°C',</v>
      </c>
      <c r="AB138" s="22" t="str">
        <f t="shared" si="21"/>
        <v>'41%',</v>
      </c>
      <c r="AC138" s="22" t="str">
        <f t="shared" si="22"/>
        <v>'60%',</v>
      </c>
      <c r="AD138" s="28" t="str">
        <f t="shared" si="23"/>
        <v>'410',</v>
      </c>
      <c r="AE138" s="28" t="str">
        <f t="shared" si="24"/>
        <v>'613',</v>
      </c>
      <c r="AF138" t="str">
        <f t="shared" si="25"/>
        <v>'136',</v>
      </c>
      <c r="AG138" t="str">
        <f t="shared" si="26"/>
        <v>'Cresterea plantelor incetineste.'),</v>
      </c>
      <c r="AL138" s="25">
        <v>4.0999999999999996</v>
      </c>
      <c r="AM138" s="25">
        <v>6.13</v>
      </c>
      <c r="AX138">
        <v>1136</v>
      </c>
      <c r="AY138" t="s">
        <v>131</v>
      </c>
      <c r="AZ138" t="s">
        <v>132</v>
      </c>
      <c r="BA138" s="22">
        <v>0.41</v>
      </c>
      <c r="BB138" s="22">
        <v>0.6</v>
      </c>
      <c r="BD138">
        <v>136</v>
      </c>
      <c r="BE138" t="s">
        <v>133</v>
      </c>
    </row>
    <row r="139" spans="19:57" x14ac:dyDescent="0.35">
      <c r="S139">
        <v>62</v>
      </c>
      <c r="T139" t="s">
        <v>34</v>
      </c>
      <c r="U139">
        <v>1</v>
      </c>
      <c r="Y139" t="str">
        <f t="shared" si="18"/>
        <v>('1137',</v>
      </c>
      <c r="Z139" t="str">
        <f t="shared" si="19"/>
        <v>'32°C',</v>
      </c>
      <c r="AA139" t="str">
        <f t="shared" si="20"/>
        <v>'37.9°C',</v>
      </c>
      <c r="AB139" s="22" t="str">
        <f t="shared" si="21"/>
        <v>'41%',</v>
      </c>
      <c r="AC139" s="22" t="str">
        <f t="shared" si="22"/>
        <v>'60%',</v>
      </c>
      <c r="AD139" s="28" t="str">
        <f t="shared" si="23"/>
        <v>'410',</v>
      </c>
      <c r="AE139" s="28" t="str">
        <f t="shared" si="24"/>
        <v>'613',</v>
      </c>
      <c r="AF139" t="str">
        <f t="shared" si="25"/>
        <v>'137',</v>
      </c>
      <c r="AG139" t="str">
        <f t="shared" si="26"/>
        <v>'Cresterea plantelor incetineste.'),</v>
      </c>
      <c r="AL139" s="25">
        <v>4.0999999999999996</v>
      </c>
      <c r="AM139" s="25">
        <v>6.13</v>
      </c>
      <c r="AX139">
        <v>1137</v>
      </c>
      <c r="AY139" t="s">
        <v>131</v>
      </c>
      <c r="AZ139" t="s">
        <v>132</v>
      </c>
      <c r="BA139" s="22">
        <v>0.41</v>
      </c>
      <c r="BB139" s="22">
        <v>0.6</v>
      </c>
      <c r="BD139">
        <v>137</v>
      </c>
      <c r="BE139" t="s">
        <v>133</v>
      </c>
    </row>
    <row r="140" spans="19:57" x14ac:dyDescent="0.35">
      <c r="S140">
        <v>63</v>
      </c>
      <c r="T140" t="s">
        <v>60</v>
      </c>
      <c r="U140">
        <v>1</v>
      </c>
      <c r="Y140" t="str">
        <f t="shared" si="18"/>
        <v>('1138',</v>
      </c>
      <c r="Z140" t="str">
        <f t="shared" si="19"/>
        <v>'32°C',</v>
      </c>
      <c r="AA140" t="str">
        <f t="shared" si="20"/>
        <v>'37.9°C',</v>
      </c>
      <c r="AB140" s="22" t="str">
        <f t="shared" si="21"/>
        <v>'41%',</v>
      </c>
      <c r="AC140" s="22" t="str">
        <f t="shared" si="22"/>
        <v>'60%',</v>
      </c>
      <c r="AD140" s="28" t="str">
        <f t="shared" si="23"/>
        <v>'410',</v>
      </c>
      <c r="AE140" s="28" t="str">
        <f t="shared" si="24"/>
        <v>'613',</v>
      </c>
      <c r="AF140" t="str">
        <f t="shared" si="25"/>
        <v>'138',</v>
      </c>
      <c r="AG140" t="str">
        <f t="shared" si="26"/>
        <v>'Cresterea plantelor incetineste.'),</v>
      </c>
      <c r="AL140" s="25">
        <v>4.0999999999999996</v>
      </c>
      <c r="AM140" s="25">
        <v>6.13</v>
      </c>
      <c r="AX140">
        <v>1138</v>
      </c>
      <c r="AY140" t="s">
        <v>131</v>
      </c>
      <c r="AZ140" t="s">
        <v>132</v>
      </c>
      <c r="BA140" s="22">
        <v>0.41</v>
      </c>
      <c r="BB140" s="22">
        <v>0.6</v>
      </c>
      <c r="BD140">
        <v>138</v>
      </c>
      <c r="BE140" t="s">
        <v>133</v>
      </c>
    </row>
    <row r="141" spans="19:57" x14ac:dyDescent="0.35">
      <c r="S141">
        <v>64</v>
      </c>
      <c r="T141" t="s">
        <v>37</v>
      </c>
      <c r="U141">
        <v>1</v>
      </c>
      <c r="Y141" t="str">
        <f t="shared" si="18"/>
        <v>('1139',</v>
      </c>
      <c r="Z141" t="str">
        <f t="shared" si="19"/>
        <v>'32°C',</v>
      </c>
      <c r="AA141" t="str">
        <f t="shared" si="20"/>
        <v>'37.9°C',</v>
      </c>
      <c r="AB141" s="22" t="str">
        <f t="shared" si="21"/>
        <v>'41%',</v>
      </c>
      <c r="AC141" s="22" t="str">
        <f t="shared" si="22"/>
        <v>'60%',</v>
      </c>
      <c r="AD141" s="28" t="str">
        <f t="shared" si="23"/>
        <v>'410',</v>
      </c>
      <c r="AE141" s="28" t="str">
        <f t="shared" si="24"/>
        <v>'613',</v>
      </c>
      <c r="AF141" t="str">
        <f t="shared" si="25"/>
        <v>'139',</v>
      </c>
      <c r="AG141" t="str">
        <f t="shared" si="26"/>
        <v>'Cresterea plantelor incetineste.'),</v>
      </c>
      <c r="AL141" s="25">
        <v>4.0999999999999996</v>
      </c>
      <c r="AM141" s="25">
        <v>6.13</v>
      </c>
      <c r="AX141">
        <v>1139</v>
      </c>
      <c r="AY141" t="s">
        <v>131</v>
      </c>
      <c r="AZ141" t="s">
        <v>132</v>
      </c>
      <c r="BA141" s="22">
        <v>0.41</v>
      </c>
      <c r="BB141" s="22">
        <v>0.6</v>
      </c>
      <c r="BD141">
        <v>139</v>
      </c>
      <c r="BE141" t="s">
        <v>133</v>
      </c>
    </row>
    <row r="142" spans="19:57" x14ac:dyDescent="0.35">
      <c r="S142">
        <v>65</v>
      </c>
      <c r="T142" t="s">
        <v>39</v>
      </c>
      <c r="U142">
        <v>1</v>
      </c>
      <c r="Y142" t="str">
        <f t="shared" si="18"/>
        <v>('1140',</v>
      </c>
      <c r="Z142" t="str">
        <f t="shared" si="19"/>
        <v>'32°C',</v>
      </c>
      <c r="AA142" t="str">
        <f t="shared" si="20"/>
        <v>'37.9°C',</v>
      </c>
      <c r="AB142" s="22" t="str">
        <f t="shared" si="21"/>
        <v>'41%',</v>
      </c>
      <c r="AC142" s="22" t="str">
        <f t="shared" si="22"/>
        <v>'60%',</v>
      </c>
      <c r="AD142" s="28" t="str">
        <f t="shared" si="23"/>
        <v>'410',</v>
      </c>
      <c r="AE142" s="28" t="str">
        <f t="shared" si="24"/>
        <v>'613',</v>
      </c>
      <c r="AF142" t="str">
        <f t="shared" si="25"/>
        <v>'140',</v>
      </c>
      <c r="AG142" t="str">
        <f t="shared" si="26"/>
        <v>'Cresterea plantelor incetineste.'),</v>
      </c>
      <c r="AL142" s="25">
        <v>4.0999999999999996</v>
      </c>
      <c r="AM142" s="25">
        <v>6.13</v>
      </c>
      <c r="AX142">
        <v>1140</v>
      </c>
      <c r="AY142" t="s">
        <v>131</v>
      </c>
      <c r="AZ142" t="s">
        <v>132</v>
      </c>
      <c r="BA142" s="22">
        <v>0.41</v>
      </c>
      <c r="BB142" s="22">
        <v>0.6</v>
      </c>
      <c r="BD142">
        <v>140</v>
      </c>
      <c r="BE142" t="s">
        <v>133</v>
      </c>
    </row>
    <row r="143" spans="19:57" x14ac:dyDescent="0.35">
      <c r="S143">
        <v>66</v>
      </c>
      <c r="T143" t="s">
        <v>61</v>
      </c>
      <c r="U143">
        <v>1</v>
      </c>
      <c r="Y143" t="str">
        <f t="shared" si="18"/>
        <v>('1141',</v>
      </c>
      <c r="Z143" t="str">
        <f t="shared" si="19"/>
        <v>'32°C',</v>
      </c>
      <c r="AA143" t="str">
        <f t="shared" si="20"/>
        <v>'37.9°C',</v>
      </c>
      <c r="AB143" s="22" t="str">
        <f t="shared" si="21"/>
        <v>'41%',</v>
      </c>
      <c r="AC143" s="22" t="str">
        <f t="shared" si="22"/>
        <v>'60%',</v>
      </c>
      <c r="AD143" s="28" t="str">
        <f t="shared" si="23"/>
        <v>'410',</v>
      </c>
      <c r="AE143" s="28" t="str">
        <f t="shared" si="24"/>
        <v>'613',</v>
      </c>
      <c r="AF143" t="str">
        <f t="shared" si="25"/>
        <v>'141',</v>
      </c>
      <c r="AG143" t="str">
        <f t="shared" si="26"/>
        <v>'Cresterea plantelor incetineste.'),</v>
      </c>
      <c r="AL143" s="25">
        <v>4.0999999999999996</v>
      </c>
      <c r="AM143" s="25">
        <v>6.13</v>
      </c>
      <c r="AX143">
        <v>1141</v>
      </c>
      <c r="AY143" t="s">
        <v>131</v>
      </c>
      <c r="AZ143" t="s">
        <v>132</v>
      </c>
      <c r="BA143" s="22">
        <v>0.41</v>
      </c>
      <c r="BB143" s="22">
        <v>0.6</v>
      </c>
      <c r="BD143">
        <v>141</v>
      </c>
      <c r="BE143" t="s">
        <v>133</v>
      </c>
    </row>
    <row r="144" spans="19:57" x14ac:dyDescent="0.35">
      <c r="S144">
        <v>67</v>
      </c>
      <c r="T144" t="s">
        <v>62</v>
      </c>
      <c r="U144">
        <v>1</v>
      </c>
      <c r="Y144" t="str">
        <f t="shared" si="18"/>
        <v>('1142',</v>
      </c>
      <c r="Z144" t="str">
        <f t="shared" si="19"/>
        <v>'32°C',</v>
      </c>
      <c r="AA144" t="str">
        <f t="shared" si="20"/>
        <v>'37.9°C',</v>
      </c>
      <c r="AB144" s="22" t="str">
        <f t="shared" si="21"/>
        <v>'41%',</v>
      </c>
      <c r="AC144" s="22" t="str">
        <f t="shared" si="22"/>
        <v>'60%',</v>
      </c>
      <c r="AD144" s="28" t="str">
        <f t="shared" si="23"/>
        <v>'410',</v>
      </c>
      <c r="AE144" s="28" t="str">
        <f t="shared" si="24"/>
        <v>'613',</v>
      </c>
      <c r="AF144" t="str">
        <f t="shared" si="25"/>
        <v>'142',</v>
      </c>
      <c r="AG144" t="str">
        <f t="shared" si="26"/>
        <v>'Cresterea plantelor incetineste.'),</v>
      </c>
      <c r="AL144" s="25">
        <v>4.0999999999999996</v>
      </c>
      <c r="AM144" s="25">
        <v>6.13</v>
      </c>
      <c r="AX144">
        <v>1142</v>
      </c>
      <c r="AY144" t="s">
        <v>131</v>
      </c>
      <c r="AZ144" t="s">
        <v>132</v>
      </c>
      <c r="BA144" s="22">
        <v>0.41</v>
      </c>
      <c r="BB144" s="22">
        <v>0.6</v>
      </c>
      <c r="BD144">
        <v>142</v>
      </c>
      <c r="BE144" t="s">
        <v>133</v>
      </c>
    </row>
    <row r="145" spans="19:57" x14ac:dyDescent="0.35">
      <c r="S145">
        <v>68</v>
      </c>
      <c r="T145" t="s">
        <v>63</v>
      </c>
      <c r="U145">
        <v>1</v>
      </c>
      <c r="Y145" t="str">
        <f t="shared" si="18"/>
        <v>('1143',</v>
      </c>
      <c r="Z145" t="str">
        <f t="shared" si="19"/>
        <v>'32°C',</v>
      </c>
      <c r="AA145" t="str">
        <f t="shared" si="20"/>
        <v>'37.9°C',</v>
      </c>
      <c r="AB145" s="22" t="str">
        <f t="shared" si="21"/>
        <v>'41%',</v>
      </c>
      <c r="AC145" s="22" t="str">
        <f t="shared" si="22"/>
        <v>'60%',</v>
      </c>
      <c r="AD145" s="28" t="str">
        <f t="shared" si="23"/>
        <v>'410',</v>
      </c>
      <c r="AE145" s="28" t="str">
        <f t="shared" si="24"/>
        <v>'613',</v>
      </c>
      <c r="AF145" t="str">
        <f t="shared" si="25"/>
        <v>'143',</v>
      </c>
      <c r="AG145" t="str">
        <f t="shared" si="26"/>
        <v>'Cresterea plantelor incetineste.'),</v>
      </c>
      <c r="AL145" s="25">
        <v>4.0999999999999996</v>
      </c>
      <c r="AM145" s="25">
        <v>6.13</v>
      </c>
      <c r="AX145">
        <v>1143</v>
      </c>
      <c r="AY145" t="s">
        <v>131</v>
      </c>
      <c r="AZ145" t="s">
        <v>132</v>
      </c>
      <c r="BA145" s="22">
        <v>0.41</v>
      </c>
      <c r="BB145" s="22">
        <v>0.6</v>
      </c>
      <c r="BD145">
        <v>143</v>
      </c>
      <c r="BE145" t="s">
        <v>133</v>
      </c>
    </row>
    <row r="146" spans="19:57" x14ac:dyDescent="0.35">
      <c r="S146">
        <v>69</v>
      </c>
      <c r="T146" t="s">
        <v>42</v>
      </c>
      <c r="U146">
        <v>1</v>
      </c>
      <c r="Y146" t="str">
        <f t="shared" si="18"/>
        <v>('1144',</v>
      </c>
      <c r="Z146" t="str">
        <f t="shared" si="19"/>
        <v>'32°C',</v>
      </c>
      <c r="AA146" t="str">
        <f t="shared" si="20"/>
        <v>'37.9°C',</v>
      </c>
      <c r="AB146" s="22" t="str">
        <f t="shared" si="21"/>
        <v>'41%',</v>
      </c>
      <c r="AC146" s="22" t="str">
        <f t="shared" si="22"/>
        <v>'60%',</v>
      </c>
      <c r="AD146" s="28" t="str">
        <f t="shared" si="23"/>
        <v>'410',</v>
      </c>
      <c r="AE146" s="28" t="str">
        <f t="shared" si="24"/>
        <v>'613',</v>
      </c>
      <c r="AF146" t="str">
        <f t="shared" si="25"/>
        <v>'144',</v>
      </c>
      <c r="AG146" t="str">
        <f t="shared" si="26"/>
        <v>'Cresterea plantelor incetineste.'),</v>
      </c>
      <c r="AL146" s="25">
        <v>4.0999999999999996</v>
      </c>
      <c r="AM146" s="25">
        <v>6.13</v>
      </c>
      <c r="AX146">
        <v>1144</v>
      </c>
      <c r="AY146" t="s">
        <v>131</v>
      </c>
      <c r="AZ146" t="s">
        <v>132</v>
      </c>
      <c r="BA146" s="22">
        <v>0.41</v>
      </c>
      <c r="BB146" s="22">
        <v>0.6</v>
      </c>
      <c r="BD146">
        <v>144</v>
      </c>
      <c r="BE146" t="s">
        <v>133</v>
      </c>
    </row>
    <row r="147" spans="19:57" x14ac:dyDescent="0.35">
      <c r="S147">
        <v>7</v>
      </c>
      <c r="T147" t="s">
        <v>8</v>
      </c>
      <c r="U147">
        <v>1</v>
      </c>
      <c r="Y147" t="str">
        <f t="shared" si="18"/>
        <v>('1145',</v>
      </c>
      <c r="Z147" t="str">
        <f t="shared" si="19"/>
        <v>'32°C',</v>
      </c>
      <c r="AA147" t="str">
        <f t="shared" si="20"/>
        <v>'37.9°C',</v>
      </c>
      <c r="AB147" s="22" t="str">
        <f t="shared" si="21"/>
        <v>'41%',</v>
      </c>
      <c r="AC147" s="22" t="str">
        <f t="shared" si="22"/>
        <v>'60%',</v>
      </c>
      <c r="AD147" s="28" t="str">
        <f t="shared" si="23"/>
        <v>'614',</v>
      </c>
      <c r="AE147" s="28" t="str">
        <f t="shared" si="24"/>
        <v>'818',</v>
      </c>
      <c r="AF147" t="str">
        <f t="shared" si="25"/>
        <v>'145',</v>
      </c>
      <c r="AG147" t="str">
        <f t="shared" si="26"/>
        <v>'Cresterea plantelor incetineste.'),</v>
      </c>
      <c r="AL147" s="25">
        <v>6.14</v>
      </c>
      <c r="AM147" s="25">
        <v>8.18</v>
      </c>
      <c r="AX147">
        <v>1145</v>
      </c>
      <c r="AY147" t="s">
        <v>131</v>
      </c>
      <c r="AZ147" t="s">
        <v>132</v>
      </c>
      <c r="BA147" s="22">
        <v>0.41</v>
      </c>
      <c r="BB147" s="22">
        <v>0.6</v>
      </c>
      <c r="BD147">
        <v>145</v>
      </c>
      <c r="BE147" t="s">
        <v>133</v>
      </c>
    </row>
    <row r="148" spans="19:57" x14ac:dyDescent="0.35">
      <c r="S148">
        <v>70</v>
      </c>
      <c r="T148" t="s">
        <v>64</v>
      </c>
      <c r="U148">
        <v>1</v>
      </c>
      <c r="Y148" t="str">
        <f t="shared" si="18"/>
        <v>('1146',</v>
      </c>
      <c r="Z148" t="str">
        <f t="shared" si="19"/>
        <v>'32°C',</v>
      </c>
      <c r="AA148" t="str">
        <f t="shared" si="20"/>
        <v>'37.9°C',</v>
      </c>
      <c r="AB148" s="22" t="str">
        <f t="shared" si="21"/>
        <v>'41%',</v>
      </c>
      <c r="AC148" s="22" t="str">
        <f t="shared" si="22"/>
        <v>'60%',</v>
      </c>
      <c r="AD148" s="28" t="str">
        <f t="shared" si="23"/>
        <v>'410',</v>
      </c>
      <c r="AE148" s="28" t="str">
        <f t="shared" si="24"/>
        <v>'613',</v>
      </c>
      <c r="AF148" t="str">
        <f t="shared" si="25"/>
        <v>'146',</v>
      </c>
      <c r="AG148" t="str">
        <f t="shared" si="26"/>
        <v>'Cresterea plantelor incetineste.'),</v>
      </c>
      <c r="AL148" s="25">
        <v>4.0999999999999996</v>
      </c>
      <c r="AM148" s="25">
        <v>6.13</v>
      </c>
      <c r="AX148">
        <v>1146</v>
      </c>
      <c r="AY148" t="s">
        <v>131</v>
      </c>
      <c r="AZ148" t="s">
        <v>132</v>
      </c>
      <c r="BA148" s="22">
        <v>0.41</v>
      </c>
      <c r="BB148" s="22">
        <v>0.6</v>
      </c>
      <c r="BD148">
        <v>146</v>
      </c>
      <c r="BE148" t="s">
        <v>133</v>
      </c>
    </row>
    <row r="149" spans="19:57" x14ac:dyDescent="0.35">
      <c r="S149">
        <v>71</v>
      </c>
      <c r="T149" t="s">
        <v>65</v>
      </c>
      <c r="U149">
        <v>1</v>
      </c>
      <c r="Y149" t="str">
        <f t="shared" si="18"/>
        <v>('1147',</v>
      </c>
      <c r="Z149" t="str">
        <f t="shared" si="19"/>
        <v>'32°C',</v>
      </c>
      <c r="AA149" t="str">
        <f t="shared" si="20"/>
        <v>'37.9°C',</v>
      </c>
      <c r="AB149" s="22" t="str">
        <f t="shared" si="21"/>
        <v>'41%',</v>
      </c>
      <c r="AC149" s="22" t="str">
        <f t="shared" si="22"/>
        <v>'60%',</v>
      </c>
      <c r="AD149" s="28" t="str">
        <f t="shared" si="23"/>
        <v>'410',</v>
      </c>
      <c r="AE149" s="28" t="str">
        <f t="shared" si="24"/>
        <v>'613',</v>
      </c>
      <c r="AF149" t="str">
        <f t="shared" si="25"/>
        <v>'147',</v>
      </c>
      <c r="AG149" t="str">
        <f t="shared" si="26"/>
        <v>'Cresterea plantelor incetineste.'),</v>
      </c>
      <c r="AL149" s="25">
        <v>4.0999999999999996</v>
      </c>
      <c r="AM149" s="25">
        <v>6.13</v>
      </c>
      <c r="AX149">
        <v>1147</v>
      </c>
      <c r="AY149" t="s">
        <v>131</v>
      </c>
      <c r="AZ149" t="s">
        <v>132</v>
      </c>
      <c r="BA149" s="22">
        <v>0.41</v>
      </c>
      <c r="BB149" s="22">
        <v>0.6</v>
      </c>
      <c r="BD149">
        <v>147</v>
      </c>
      <c r="BE149" t="s">
        <v>133</v>
      </c>
    </row>
    <row r="150" spans="19:57" x14ac:dyDescent="0.35">
      <c r="S150">
        <v>72</v>
      </c>
      <c r="T150" t="s">
        <v>66</v>
      </c>
      <c r="U150">
        <v>1</v>
      </c>
      <c r="Y150" t="str">
        <f t="shared" si="18"/>
        <v>('1148',</v>
      </c>
      <c r="Z150" t="str">
        <f t="shared" si="19"/>
        <v>'32°C',</v>
      </c>
      <c r="AA150" t="str">
        <f t="shared" si="20"/>
        <v>'37.9°C',</v>
      </c>
      <c r="AB150" s="22" t="str">
        <f t="shared" si="21"/>
        <v>'41%',</v>
      </c>
      <c r="AC150" s="22" t="str">
        <f t="shared" si="22"/>
        <v>'60%',</v>
      </c>
      <c r="AD150" s="28" t="str">
        <f t="shared" si="23"/>
        <v>'410',</v>
      </c>
      <c r="AE150" s="28" t="str">
        <f t="shared" si="24"/>
        <v>'613',</v>
      </c>
      <c r="AF150" t="str">
        <f t="shared" si="25"/>
        <v>'148',</v>
      </c>
      <c r="AG150" t="str">
        <f t="shared" si="26"/>
        <v>'Cresterea plantelor incetineste.'),</v>
      </c>
      <c r="AL150" s="25">
        <v>4.0999999999999996</v>
      </c>
      <c r="AM150" s="25">
        <v>6.13</v>
      </c>
      <c r="AX150">
        <v>1148</v>
      </c>
      <c r="AY150" t="s">
        <v>131</v>
      </c>
      <c r="AZ150" t="s">
        <v>132</v>
      </c>
      <c r="BA150" s="22">
        <v>0.41</v>
      </c>
      <c r="BB150" s="22">
        <v>0.6</v>
      </c>
      <c r="BD150">
        <v>148</v>
      </c>
      <c r="BE150" t="s">
        <v>133</v>
      </c>
    </row>
    <row r="151" spans="19:57" x14ac:dyDescent="0.35">
      <c r="S151">
        <v>73</v>
      </c>
      <c r="T151" t="s">
        <v>67</v>
      </c>
      <c r="U151">
        <v>1</v>
      </c>
      <c r="Y151" t="str">
        <f t="shared" si="18"/>
        <v>('1149',</v>
      </c>
      <c r="Z151" t="str">
        <f t="shared" si="19"/>
        <v>'32°C',</v>
      </c>
      <c r="AA151" t="str">
        <f t="shared" si="20"/>
        <v>'37.9°C',</v>
      </c>
      <c r="AB151" s="22" t="str">
        <f t="shared" si="21"/>
        <v>'41%',</v>
      </c>
      <c r="AC151" s="22" t="str">
        <f t="shared" si="22"/>
        <v>'60%',</v>
      </c>
      <c r="AD151" s="28" t="str">
        <f t="shared" si="23"/>
        <v>'410',</v>
      </c>
      <c r="AE151" s="28" t="str">
        <f t="shared" si="24"/>
        <v>'613',</v>
      </c>
      <c r="AF151" t="str">
        <f t="shared" si="25"/>
        <v>'149',</v>
      </c>
      <c r="AG151" t="str">
        <f t="shared" si="26"/>
        <v>'Cresterea plantelor incetineste.'),</v>
      </c>
      <c r="AL151" s="25">
        <v>4.0999999999999996</v>
      </c>
      <c r="AM151" s="25">
        <v>6.13</v>
      </c>
      <c r="AX151">
        <v>1149</v>
      </c>
      <c r="AY151" t="s">
        <v>131</v>
      </c>
      <c r="AZ151" t="s">
        <v>132</v>
      </c>
      <c r="BA151" s="22">
        <v>0.41</v>
      </c>
      <c r="BB151" s="22">
        <v>0.6</v>
      </c>
      <c r="BD151">
        <v>149</v>
      </c>
      <c r="BE151" t="s">
        <v>133</v>
      </c>
    </row>
    <row r="152" spans="19:57" x14ac:dyDescent="0.35">
      <c r="S152">
        <v>74</v>
      </c>
      <c r="T152" t="s">
        <v>47</v>
      </c>
      <c r="U152">
        <v>1</v>
      </c>
      <c r="Y152" t="str">
        <f t="shared" si="18"/>
        <v>('1150',</v>
      </c>
      <c r="Z152" t="str">
        <f t="shared" si="19"/>
        <v>'32°C',</v>
      </c>
      <c r="AA152" t="str">
        <f t="shared" si="20"/>
        <v>'37.9°C',</v>
      </c>
      <c r="AB152" s="22" t="str">
        <f t="shared" si="21"/>
        <v>'41%',</v>
      </c>
      <c r="AC152" s="22" t="str">
        <f t="shared" si="22"/>
        <v>'60%',</v>
      </c>
      <c r="AD152" s="28" t="str">
        <f t="shared" si="23"/>
        <v>'410',</v>
      </c>
      <c r="AE152" s="28" t="str">
        <f t="shared" si="24"/>
        <v>'613',</v>
      </c>
      <c r="AF152" t="str">
        <f t="shared" si="25"/>
        <v>'150',</v>
      </c>
      <c r="AG152" t="str">
        <f t="shared" si="26"/>
        <v>'Cresterea plantelor incetineste.'),</v>
      </c>
      <c r="AL152" s="25">
        <v>4.0999999999999996</v>
      </c>
      <c r="AM152" s="25">
        <v>6.13</v>
      </c>
      <c r="AX152">
        <v>1150</v>
      </c>
      <c r="AY152" t="s">
        <v>131</v>
      </c>
      <c r="AZ152" t="s">
        <v>132</v>
      </c>
      <c r="BA152" s="22">
        <v>0.41</v>
      </c>
      <c r="BB152" s="22">
        <v>0.6</v>
      </c>
      <c r="BD152">
        <v>150</v>
      </c>
      <c r="BE152" t="s">
        <v>133</v>
      </c>
    </row>
    <row r="153" spans="19:57" x14ac:dyDescent="0.35">
      <c r="S153">
        <v>75</v>
      </c>
      <c r="T153" t="s">
        <v>68</v>
      </c>
      <c r="U153">
        <v>1</v>
      </c>
      <c r="Y153" t="str">
        <f t="shared" si="18"/>
        <v>('1151',</v>
      </c>
      <c r="Z153" t="str">
        <f t="shared" si="19"/>
        <v>'32°C',</v>
      </c>
      <c r="AA153" t="str">
        <f t="shared" si="20"/>
        <v>'37.9°C',</v>
      </c>
      <c r="AB153" s="22" t="str">
        <f t="shared" si="21"/>
        <v>'41%',</v>
      </c>
      <c r="AC153" s="22" t="str">
        <f t="shared" si="22"/>
        <v>'60%',</v>
      </c>
      <c r="AD153" s="28" t="str">
        <f t="shared" si="23"/>
        <v>'410',</v>
      </c>
      <c r="AE153" s="28" t="str">
        <f t="shared" si="24"/>
        <v>'613',</v>
      </c>
      <c r="AF153" t="str">
        <f t="shared" si="25"/>
        <v>'151',</v>
      </c>
      <c r="AG153" t="str">
        <f t="shared" si="26"/>
        <v>'Cresterea plantelor incetineste.'),</v>
      </c>
      <c r="AL153" s="25">
        <v>4.0999999999999996</v>
      </c>
      <c r="AM153" s="25">
        <v>6.13</v>
      </c>
      <c r="AX153">
        <v>1151</v>
      </c>
      <c r="AY153" t="s">
        <v>131</v>
      </c>
      <c r="AZ153" t="s">
        <v>132</v>
      </c>
      <c r="BA153" s="22">
        <v>0.41</v>
      </c>
      <c r="BB153" s="22">
        <v>0.6</v>
      </c>
      <c r="BD153">
        <v>151</v>
      </c>
      <c r="BE153" t="s">
        <v>133</v>
      </c>
    </row>
    <row r="154" spans="19:57" x14ac:dyDescent="0.35">
      <c r="S154">
        <v>76</v>
      </c>
      <c r="T154" t="s">
        <v>69</v>
      </c>
      <c r="U154">
        <v>1</v>
      </c>
      <c r="Y154" t="str">
        <f t="shared" si="18"/>
        <v>('1152',</v>
      </c>
      <c r="Z154" t="str">
        <f t="shared" si="19"/>
        <v>'32°C',</v>
      </c>
      <c r="AA154" t="str">
        <f t="shared" si="20"/>
        <v>'37.9°C',</v>
      </c>
      <c r="AB154" s="22" t="str">
        <f t="shared" si="21"/>
        <v>'41%',</v>
      </c>
      <c r="AC154" s="22" t="str">
        <f t="shared" si="22"/>
        <v>'60%',</v>
      </c>
      <c r="AD154" s="28" t="str">
        <f t="shared" si="23"/>
        <v>'410',</v>
      </c>
      <c r="AE154" s="28" t="str">
        <f t="shared" si="24"/>
        <v>'613',</v>
      </c>
      <c r="AF154" t="str">
        <f t="shared" si="25"/>
        <v>'152',</v>
      </c>
      <c r="AG154" t="str">
        <f t="shared" si="26"/>
        <v>'Cresterea plantelor incetineste.'),</v>
      </c>
      <c r="AL154" s="25">
        <v>4.0999999999999996</v>
      </c>
      <c r="AM154" s="25">
        <v>6.13</v>
      </c>
      <c r="AX154">
        <v>1152</v>
      </c>
      <c r="AY154" t="s">
        <v>131</v>
      </c>
      <c r="AZ154" t="s">
        <v>132</v>
      </c>
      <c r="BA154" s="22">
        <v>0.41</v>
      </c>
      <c r="BB154" s="22">
        <v>0.6</v>
      </c>
      <c r="BD154">
        <v>152</v>
      </c>
      <c r="BE154" t="s">
        <v>133</v>
      </c>
    </row>
    <row r="155" spans="19:57" x14ac:dyDescent="0.35">
      <c r="S155">
        <v>77</v>
      </c>
      <c r="T155" t="s">
        <v>53</v>
      </c>
      <c r="U155">
        <v>1</v>
      </c>
      <c r="Y155" t="str">
        <f t="shared" si="18"/>
        <v>('1153',</v>
      </c>
      <c r="Z155" t="str">
        <f t="shared" si="19"/>
        <v>'18°C',</v>
      </c>
      <c r="AA155" t="str">
        <f t="shared" si="20"/>
        <v>'31.9°C',</v>
      </c>
      <c r="AB155" s="22" t="str">
        <f t="shared" si="21"/>
        <v>'61%',</v>
      </c>
      <c r="AC155" s="22" t="str">
        <f t="shared" si="22"/>
        <v>'80%',</v>
      </c>
      <c r="AD155" s="28" t="str">
        <f t="shared" si="23"/>
        <v>'410',</v>
      </c>
      <c r="AE155" s="28" t="str">
        <f t="shared" si="24"/>
        <v>'613',</v>
      </c>
      <c r="AF155" t="str">
        <f t="shared" si="25"/>
        <v>'153',</v>
      </c>
      <c r="AG155" t="str">
        <f t="shared" si="26"/>
        <v>'Interval ideal pentru nitrificare, cresterea plantelor si plantare'),</v>
      </c>
      <c r="AL155" s="25">
        <v>4.0999999999999996</v>
      </c>
      <c r="AM155" s="25">
        <v>6.13</v>
      </c>
      <c r="AX155">
        <v>1153</v>
      </c>
      <c r="AY155" t="s">
        <v>134</v>
      </c>
      <c r="AZ155" t="s">
        <v>135</v>
      </c>
      <c r="BA155" s="22">
        <v>0.61</v>
      </c>
      <c r="BB155" s="22">
        <v>0.8</v>
      </c>
      <c r="BD155">
        <v>153</v>
      </c>
      <c r="BE155" t="s">
        <v>136</v>
      </c>
    </row>
    <row r="156" spans="19:57" x14ac:dyDescent="0.35">
      <c r="S156">
        <v>78</v>
      </c>
      <c r="T156" t="s">
        <v>54</v>
      </c>
      <c r="U156">
        <v>1</v>
      </c>
      <c r="Y156" t="str">
        <f t="shared" si="18"/>
        <v>('1154',</v>
      </c>
      <c r="Z156" t="str">
        <f t="shared" si="19"/>
        <v>'18°C',</v>
      </c>
      <c r="AA156" t="str">
        <f t="shared" si="20"/>
        <v>'31.9°C',</v>
      </c>
      <c r="AB156" s="22" t="str">
        <f t="shared" si="21"/>
        <v>'61%',</v>
      </c>
      <c r="AC156" s="22" t="str">
        <f t="shared" si="22"/>
        <v>'80%',</v>
      </c>
      <c r="AD156" s="28" t="str">
        <f t="shared" si="23"/>
        <v>'410',</v>
      </c>
      <c r="AE156" s="28" t="str">
        <f t="shared" si="24"/>
        <v>'613',</v>
      </c>
      <c r="AF156" t="str">
        <f t="shared" si="25"/>
        <v>'154',</v>
      </c>
      <c r="AG156" t="str">
        <f t="shared" si="26"/>
        <v>'Interval ideal pentru nitrificare, cresterea plantelor si plantare'),</v>
      </c>
      <c r="AL156" s="25">
        <v>4.0999999999999996</v>
      </c>
      <c r="AM156" s="25">
        <v>6.13</v>
      </c>
      <c r="AX156">
        <v>1154</v>
      </c>
      <c r="AY156" t="s">
        <v>134</v>
      </c>
      <c r="AZ156" t="s">
        <v>135</v>
      </c>
      <c r="BA156" s="22">
        <v>0.61</v>
      </c>
      <c r="BB156" s="22">
        <v>0.8</v>
      </c>
      <c r="BD156">
        <v>154</v>
      </c>
      <c r="BE156" t="s">
        <v>136</v>
      </c>
    </row>
    <row r="157" spans="19:57" x14ac:dyDescent="0.35">
      <c r="S157">
        <v>79</v>
      </c>
      <c r="T157" t="s">
        <v>55</v>
      </c>
      <c r="U157">
        <v>1</v>
      </c>
      <c r="Y157" t="str">
        <f t="shared" si="18"/>
        <v>('1155',</v>
      </c>
      <c r="Z157" t="str">
        <f t="shared" si="19"/>
        <v>'18°C',</v>
      </c>
      <c r="AA157" t="str">
        <f t="shared" si="20"/>
        <v>'31.9°C',</v>
      </c>
      <c r="AB157" s="22" t="str">
        <f t="shared" si="21"/>
        <v>'61%',</v>
      </c>
      <c r="AC157" s="22" t="str">
        <f t="shared" si="22"/>
        <v>'80%',</v>
      </c>
      <c r="AD157" s="28" t="str">
        <f t="shared" si="23"/>
        <v>'410',</v>
      </c>
      <c r="AE157" s="28" t="str">
        <f t="shared" si="24"/>
        <v>'613',</v>
      </c>
      <c r="AF157" t="str">
        <f t="shared" si="25"/>
        <v>'155',</v>
      </c>
      <c r="AG157" t="str">
        <f t="shared" si="26"/>
        <v>'Interval ideal pentru nitrificare, cresterea plantelor si plantare'),</v>
      </c>
      <c r="AL157" s="25">
        <v>4.0999999999999996</v>
      </c>
      <c r="AM157" s="25">
        <v>6.13</v>
      </c>
      <c r="AX157">
        <v>1155</v>
      </c>
      <c r="AY157" t="s">
        <v>134</v>
      </c>
      <c r="AZ157" t="s">
        <v>135</v>
      </c>
      <c r="BA157" s="22">
        <v>0.61</v>
      </c>
      <c r="BB157" s="22">
        <v>0.8</v>
      </c>
      <c r="BD157">
        <v>155</v>
      </c>
      <c r="BE157" t="s">
        <v>136</v>
      </c>
    </row>
    <row r="158" spans="19:57" x14ac:dyDescent="0.35">
      <c r="S158">
        <v>8</v>
      </c>
      <c r="T158" t="s">
        <v>9</v>
      </c>
      <c r="U158">
        <v>1</v>
      </c>
      <c r="Y158" t="str">
        <f t="shared" si="18"/>
        <v>('1156',</v>
      </c>
      <c r="Z158" t="str">
        <f t="shared" si="19"/>
        <v>'18°C',</v>
      </c>
      <c r="AA158" t="str">
        <f t="shared" si="20"/>
        <v>'31.9°C',</v>
      </c>
      <c r="AB158" s="22" t="str">
        <f t="shared" si="21"/>
        <v>'61%',</v>
      </c>
      <c r="AC158" s="22" t="str">
        <f t="shared" si="22"/>
        <v>'80%',</v>
      </c>
      <c r="AD158" s="28" t="str">
        <f t="shared" si="23"/>
        <v>'614',</v>
      </c>
      <c r="AE158" s="28" t="str">
        <f t="shared" si="24"/>
        <v>'818',</v>
      </c>
      <c r="AF158" t="str">
        <f t="shared" si="25"/>
        <v>'156',</v>
      </c>
      <c r="AG158" t="str">
        <f t="shared" si="26"/>
        <v>'Interval ideal pentru nitrificare, cresterea plantelor si plantare'),</v>
      </c>
      <c r="AL158" s="25">
        <v>6.14</v>
      </c>
      <c r="AM158" s="25">
        <v>8.18</v>
      </c>
      <c r="AX158">
        <v>1156</v>
      </c>
      <c r="AY158" t="s">
        <v>134</v>
      </c>
      <c r="AZ158" t="s">
        <v>135</v>
      </c>
      <c r="BA158" s="22">
        <v>0.61</v>
      </c>
      <c r="BB158" s="22">
        <v>0.8</v>
      </c>
      <c r="BD158">
        <v>156</v>
      </c>
      <c r="BE158" t="s">
        <v>136</v>
      </c>
    </row>
    <row r="159" spans="19:57" x14ac:dyDescent="0.35">
      <c r="S159">
        <v>80</v>
      </c>
      <c r="T159" t="s">
        <v>15</v>
      </c>
      <c r="U159">
        <v>1</v>
      </c>
      <c r="Y159" t="str">
        <f t="shared" si="18"/>
        <v>('1157',</v>
      </c>
      <c r="Z159" t="str">
        <f t="shared" si="19"/>
        <v>'18°C',</v>
      </c>
      <c r="AA159" t="str">
        <f t="shared" si="20"/>
        <v>'31.9°C',</v>
      </c>
      <c r="AB159" s="22" t="str">
        <f t="shared" si="21"/>
        <v>'61%',</v>
      </c>
      <c r="AC159" s="22" t="str">
        <f t="shared" si="22"/>
        <v>'80%',</v>
      </c>
      <c r="AD159" s="28" t="str">
        <f t="shared" si="23"/>
        <v>'205',</v>
      </c>
      <c r="AE159" s="28" t="str">
        <f t="shared" si="24"/>
        <v>'409',</v>
      </c>
      <c r="AF159" t="str">
        <f t="shared" si="25"/>
        <v>'157',</v>
      </c>
      <c r="AG159" t="str">
        <f t="shared" si="26"/>
        <v>'Interval ideal pentru nitrificare, cresterea plantelor si plantare'),</v>
      </c>
      <c r="AL159" s="25">
        <v>2.0499999999999998</v>
      </c>
      <c r="AM159" s="25">
        <v>4.09</v>
      </c>
      <c r="AX159">
        <v>1157</v>
      </c>
      <c r="AY159" t="s">
        <v>134</v>
      </c>
      <c r="AZ159" t="s">
        <v>135</v>
      </c>
      <c r="BA159" s="22">
        <v>0.61</v>
      </c>
      <c r="BB159" s="22">
        <v>0.8</v>
      </c>
      <c r="BD159">
        <v>157</v>
      </c>
      <c r="BE159" t="s">
        <v>136</v>
      </c>
    </row>
    <row r="160" spans="19:57" x14ac:dyDescent="0.35">
      <c r="S160">
        <v>81</v>
      </c>
      <c r="T160" t="s">
        <v>19</v>
      </c>
      <c r="U160">
        <v>1</v>
      </c>
      <c r="Y160" t="str">
        <f t="shared" si="18"/>
        <v>('1158',</v>
      </c>
      <c r="Z160" t="str">
        <f t="shared" si="19"/>
        <v>'18°C',</v>
      </c>
      <c r="AA160" t="str">
        <f t="shared" si="20"/>
        <v>'31.9°C',</v>
      </c>
      <c r="AB160" s="22" t="str">
        <f t="shared" si="21"/>
        <v>'61%',</v>
      </c>
      <c r="AC160" s="22" t="str">
        <f t="shared" si="22"/>
        <v>'80%',</v>
      </c>
      <c r="AD160" s="28" t="str">
        <f t="shared" si="23"/>
        <v>'205',</v>
      </c>
      <c r="AE160" s="28" t="str">
        <f t="shared" si="24"/>
        <v>'409',</v>
      </c>
      <c r="AF160" t="str">
        <f t="shared" si="25"/>
        <v>'158',</v>
      </c>
      <c r="AG160" t="str">
        <f t="shared" si="26"/>
        <v>'Interval ideal pentru nitrificare, cresterea plantelor si plantare'),</v>
      </c>
      <c r="AL160" s="25">
        <v>2.0499999999999998</v>
      </c>
      <c r="AM160" s="25">
        <v>4.09</v>
      </c>
      <c r="AX160">
        <v>1158</v>
      </c>
      <c r="AY160" t="s">
        <v>134</v>
      </c>
      <c r="AZ160" t="s">
        <v>135</v>
      </c>
      <c r="BA160" s="22">
        <v>0.61</v>
      </c>
      <c r="BB160" s="22">
        <v>0.8</v>
      </c>
      <c r="BD160">
        <v>158</v>
      </c>
      <c r="BE160" t="s">
        <v>136</v>
      </c>
    </row>
    <row r="161" spans="19:57" x14ac:dyDescent="0.35">
      <c r="S161">
        <v>82</v>
      </c>
      <c r="T161" t="s">
        <v>22</v>
      </c>
      <c r="U161">
        <v>1</v>
      </c>
      <c r="Y161" t="str">
        <f t="shared" si="18"/>
        <v>('1159',</v>
      </c>
      <c r="Z161" t="str">
        <f t="shared" si="19"/>
        <v>'18°C',</v>
      </c>
      <c r="AA161" t="str">
        <f t="shared" si="20"/>
        <v>'31.9°C',</v>
      </c>
      <c r="AB161" s="22" t="str">
        <f t="shared" si="21"/>
        <v>'61%',</v>
      </c>
      <c r="AC161" s="22" t="str">
        <f t="shared" si="22"/>
        <v>'80%',</v>
      </c>
      <c r="AD161" s="28" t="str">
        <f t="shared" si="23"/>
        <v>'205',</v>
      </c>
      <c r="AE161" s="28" t="str">
        <f t="shared" si="24"/>
        <v>'409',</v>
      </c>
      <c r="AF161" t="str">
        <f t="shared" si="25"/>
        <v>'159',</v>
      </c>
      <c r="AG161" t="str">
        <f t="shared" si="26"/>
        <v>'Interval ideal pentru nitrificare, cresterea plantelor si plantare'),</v>
      </c>
      <c r="AL161" s="25">
        <v>2.0499999999999998</v>
      </c>
      <c r="AM161" s="25">
        <v>4.09</v>
      </c>
      <c r="AX161">
        <v>1159</v>
      </c>
      <c r="AY161" t="s">
        <v>134</v>
      </c>
      <c r="AZ161" t="s">
        <v>135</v>
      </c>
      <c r="BA161" s="22">
        <v>0.61</v>
      </c>
      <c r="BB161" s="22">
        <v>0.8</v>
      </c>
      <c r="BD161">
        <v>159</v>
      </c>
      <c r="BE161" t="s">
        <v>136</v>
      </c>
    </row>
    <row r="162" spans="19:57" x14ac:dyDescent="0.35">
      <c r="S162">
        <v>83</v>
      </c>
      <c r="T162" t="s">
        <v>64</v>
      </c>
      <c r="U162">
        <v>1</v>
      </c>
      <c r="Y162" t="str">
        <f t="shared" si="18"/>
        <v>('1160',</v>
      </c>
      <c r="Z162" t="str">
        <f t="shared" si="19"/>
        <v>'38°C',</v>
      </c>
      <c r="AA162" t="str">
        <f t="shared" si="20"/>
        <v>'44.9°C',</v>
      </c>
      <c r="AB162" s="22" t="str">
        <f t="shared" si="21"/>
        <v>'21%',</v>
      </c>
      <c r="AC162" s="22" t="str">
        <f t="shared" si="22"/>
        <v>'40%',</v>
      </c>
      <c r="AD162" s="28" t="str">
        <f t="shared" si="23"/>
        <v>'205',</v>
      </c>
      <c r="AE162" s="28" t="str">
        <f t="shared" si="24"/>
        <v>'409',</v>
      </c>
      <c r="AF162" t="str">
        <f t="shared" si="25"/>
        <v>'160',</v>
      </c>
      <c r="AG162" t="str">
        <f t="shared" si="26"/>
        <v>'15% din umiditate este folosita pentru crestere, 85% se pierde prin evaporare si transpiratie.'),</v>
      </c>
      <c r="AL162" s="25">
        <v>2.0499999999999998</v>
      </c>
      <c r="AM162" s="25">
        <v>4.09</v>
      </c>
      <c r="AX162">
        <v>1160</v>
      </c>
      <c r="AY162" t="s">
        <v>128</v>
      </c>
      <c r="AZ162" t="s">
        <v>129</v>
      </c>
      <c r="BA162" s="22">
        <v>0.21</v>
      </c>
      <c r="BB162" s="22">
        <v>0.4</v>
      </c>
      <c r="BD162">
        <v>160</v>
      </c>
      <c r="BE162" t="s">
        <v>130</v>
      </c>
    </row>
    <row r="163" spans="19:57" x14ac:dyDescent="0.35">
      <c r="S163">
        <v>84</v>
      </c>
      <c r="T163" t="s">
        <v>70</v>
      </c>
      <c r="U163">
        <v>1</v>
      </c>
      <c r="Y163" t="str">
        <f t="shared" si="18"/>
        <v>('1161',</v>
      </c>
      <c r="Z163" t="str">
        <f t="shared" si="19"/>
        <v>'38°C',</v>
      </c>
      <c r="AA163" t="str">
        <f t="shared" si="20"/>
        <v>'44.9°C',</v>
      </c>
      <c r="AB163" s="22" t="str">
        <f t="shared" si="21"/>
        <v>'21%',</v>
      </c>
      <c r="AC163" s="22" t="str">
        <f t="shared" si="22"/>
        <v>'40%',</v>
      </c>
      <c r="AD163" s="28" t="str">
        <f t="shared" si="23"/>
        <v>'205',</v>
      </c>
      <c r="AE163" s="28" t="str">
        <f t="shared" si="24"/>
        <v>'409',</v>
      </c>
      <c r="AF163" t="str">
        <f t="shared" si="25"/>
        <v>'161',</v>
      </c>
      <c r="AG163" t="str">
        <f t="shared" si="26"/>
        <v>'15% din umiditate este folosita pentru crestere, 85% se pierde prin evaporare si transpiratie.'),</v>
      </c>
      <c r="AL163" s="25">
        <v>2.0499999999999998</v>
      </c>
      <c r="AM163" s="25">
        <v>4.09</v>
      </c>
      <c r="AX163">
        <v>1161</v>
      </c>
      <c r="AY163" t="s">
        <v>128</v>
      </c>
      <c r="AZ163" t="s">
        <v>129</v>
      </c>
      <c r="BA163" s="22">
        <v>0.21</v>
      </c>
      <c r="BB163" s="22">
        <v>0.4</v>
      </c>
      <c r="BD163">
        <v>161</v>
      </c>
      <c r="BE163" t="s">
        <v>130</v>
      </c>
    </row>
    <row r="164" spans="19:57" x14ac:dyDescent="0.35">
      <c r="S164">
        <v>85</v>
      </c>
      <c r="T164" t="s">
        <v>67</v>
      </c>
      <c r="U164">
        <v>1</v>
      </c>
      <c r="Y164" t="str">
        <f t="shared" si="18"/>
        <v>('1162',</v>
      </c>
      <c r="Z164" t="str">
        <f t="shared" si="19"/>
        <v>'38°C',</v>
      </c>
      <c r="AA164" t="str">
        <f t="shared" si="20"/>
        <v>'44.9°C',</v>
      </c>
      <c r="AB164" s="22" t="str">
        <f t="shared" si="21"/>
        <v>'21%',</v>
      </c>
      <c r="AC164" s="22" t="str">
        <f t="shared" si="22"/>
        <v>'40%',</v>
      </c>
      <c r="AD164" s="28" t="str">
        <f t="shared" si="23"/>
        <v>'205',</v>
      </c>
      <c r="AE164" s="28" t="str">
        <f t="shared" si="24"/>
        <v>'409',</v>
      </c>
      <c r="AF164" t="str">
        <f t="shared" si="25"/>
        <v>'162',</v>
      </c>
      <c r="AG164" t="str">
        <f t="shared" si="26"/>
        <v>'15% din umiditate este folosita pentru crestere, 85% se pierde prin evaporare si transpiratie.'),</v>
      </c>
      <c r="AL164" s="25">
        <v>2.0499999999999998</v>
      </c>
      <c r="AM164" s="25">
        <v>4.09</v>
      </c>
      <c r="AX164">
        <v>1162</v>
      </c>
      <c r="AY164" t="s">
        <v>128</v>
      </c>
      <c r="AZ164" t="s">
        <v>129</v>
      </c>
      <c r="BA164" s="22">
        <v>0.21</v>
      </c>
      <c r="BB164" s="22">
        <v>0.4</v>
      </c>
      <c r="BD164">
        <v>162</v>
      </c>
      <c r="BE164" t="s">
        <v>130</v>
      </c>
    </row>
    <row r="165" spans="19:57" x14ac:dyDescent="0.35">
      <c r="S165">
        <v>86</v>
      </c>
      <c r="T165" t="s">
        <v>51</v>
      </c>
      <c r="U165">
        <v>1</v>
      </c>
      <c r="Y165" t="str">
        <f t="shared" si="18"/>
        <v>('1163',</v>
      </c>
      <c r="Z165" t="str">
        <f t="shared" si="19"/>
        <v>'38°C',</v>
      </c>
      <c r="AA165" t="str">
        <f t="shared" si="20"/>
        <v>'44.9°C',</v>
      </c>
      <c r="AB165" s="22" t="str">
        <f t="shared" si="21"/>
        <v>'21%',</v>
      </c>
      <c r="AC165" s="22" t="str">
        <f t="shared" si="22"/>
        <v>'40%',</v>
      </c>
      <c r="AD165" s="28" t="str">
        <f t="shared" si="23"/>
        <v>'205',</v>
      </c>
      <c r="AE165" s="28" t="str">
        <f t="shared" si="24"/>
        <v>'409',</v>
      </c>
      <c r="AF165" t="str">
        <f t="shared" si="25"/>
        <v>'163',</v>
      </c>
      <c r="AG165" t="str">
        <f t="shared" si="26"/>
        <v>'15% din umiditate este folosita pentru crestere, 85% se pierde prin evaporare si transpiratie.'),</v>
      </c>
      <c r="AL165" s="25">
        <v>2.0499999999999998</v>
      </c>
      <c r="AM165" s="25">
        <v>4.09</v>
      </c>
      <c r="AX165">
        <v>1163</v>
      </c>
      <c r="AY165" t="s">
        <v>128</v>
      </c>
      <c r="AZ165" t="s">
        <v>129</v>
      </c>
      <c r="BA165" s="22">
        <v>0.21</v>
      </c>
      <c r="BB165" s="22">
        <v>0.4</v>
      </c>
      <c r="BD165">
        <v>163</v>
      </c>
      <c r="BE165" t="s">
        <v>130</v>
      </c>
    </row>
    <row r="166" spans="19:57" x14ac:dyDescent="0.35">
      <c r="S166">
        <v>87</v>
      </c>
      <c r="T166" t="s">
        <v>72</v>
      </c>
      <c r="U166">
        <v>2</v>
      </c>
      <c r="Y166" t="str">
        <f t="shared" si="18"/>
        <v>('1164',</v>
      </c>
      <c r="Z166" t="str">
        <f t="shared" si="19"/>
        <v>'38°C',</v>
      </c>
      <c r="AA166" t="str">
        <f t="shared" si="20"/>
        <v>'44.9°C',</v>
      </c>
      <c r="AB166" s="22" t="str">
        <f t="shared" si="21"/>
        <v>'21%',</v>
      </c>
      <c r="AC166" s="22" t="str">
        <f t="shared" si="22"/>
        <v>'40%',</v>
      </c>
      <c r="AD166" s="28" t="str">
        <f t="shared" si="23"/>
        <v>'819',</v>
      </c>
      <c r="AE166" s="28" t="str">
        <f t="shared" si="24"/>
        <v>'1024',</v>
      </c>
      <c r="AF166" t="str">
        <f t="shared" si="25"/>
        <v>'164',</v>
      </c>
      <c r="AG166" t="str">
        <f t="shared" si="26"/>
        <v>'15% din umiditate este folosita pentru crestere, 85% se pierde prin evaporare si transpiratie.'),</v>
      </c>
      <c r="AL166" s="25">
        <v>8.19</v>
      </c>
      <c r="AM166" s="25">
        <v>10.24</v>
      </c>
      <c r="AX166">
        <v>1164</v>
      </c>
      <c r="AY166" t="s">
        <v>128</v>
      </c>
      <c r="AZ166" t="s">
        <v>129</v>
      </c>
      <c r="BA166" s="22">
        <v>0.21</v>
      </c>
      <c r="BB166" s="22">
        <v>0.4</v>
      </c>
      <c r="BD166">
        <v>164</v>
      </c>
      <c r="BE166" t="s">
        <v>130</v>
      </c>
    </row>
    <row r="167" spans="19:57" x14ac:dyDescent="0.35">
      <c r="S167">
        <v>88</v>
      </c>
      <c r="T167" t="s">
        <v>73</v>
      </c>
      <c r="U167">
        <v>2</v>
      </c>
      <c r="Y167" t="str">
        <f t="shared" si="18"/>
        <v>('1165',</v>
      </c>
      <c r="Z167" t="str">
        <f t="shared" si="19"/>
        <v>'38°C',</v>
      </c>
      <c r="AA167" t="str">
        <f t="shared" si="20"/>
        <v>'44.9°C',</v>
      </c>
      <c r="AB167" s="22" t="str">
        <f t="shared" si="21"/>
        <v>'21%',</v>
      </c>
      <c r="AC167" s="22" t="str">
        <f t="shared" si="22"/>
        <v>'40%',</v>
      </c>
      <c r="AD167" s="28" t="str">
        <f t="shared" si="23"/>
        <v>'819',</v>
      </c>
      <c r="AE167" s="28" t="str">
        <f t="shared" si="24"/>
        <v>'1024',</v>
      </c>
      <c r="AF167" t="str">
        <f t="shared" si="25"/>
        <v>'165',</v>
      </c>
      <c r="AG167" t="str">
        <f t="shared" si="26"/>
        <v>'15% din umiditate este folosita pentru crestere, 85% se pierde prin evaporare si transpiratie.'),</v>
      </c>
      <c r="AL167" s="25">
        <v>8.19</v>
      </c>
      <c r="AM167" s="25">
        <v>10.24</v>
      </c>
      <c r="AX167">
        <v>1165</v>
      </c>
      <c r="AY167" t="s">
        <v>128</v>
      </c>
      <c r="AZ167" t="s">
        <v>129</v>
      </c>
      <c r="BA167" s="22">
        <v>0.21</v>
      </c>
      <c r="BB167" s="22">
        <v>0.4</v>
      </c>
      <c r="BD167">
        <v>165</v>
      </c>
      <c r="BE167" t="s">
        <v>130</v>
      </c>
    </row>
    <row r="168" spans="19:57" x14ac:dyDescent="0.35">
      <c r="S168">
        <v>89</v>
      </c>
      <c r="T168" t="s">
        <v>112</v>
      </c>
      <c r="U168">
        <v>2</v>
      </c>
      <c r="Y168" t="str">
        <f t="shared" si="18"/>
        <v>('1166',</v>
      </c>
      <c r="Z168" t="str">
        <f t="shared" si="19"/>
        <v>'38°C',</v>
      </c>
      <c r="AA168" t="str">
        <f t="shared" si="20"/>
        <v>'44.9°C',</v>
      </c>
      <c r="AB168" s="22" t="str">
        <f t="shared" si="21"/>
        <v>'21%',</v>
      </c>
      <c r="AC168" s="22" t="str">
        <f t="shared" si="22"/>
        <v>'40%',</v>
      </c>
      <c r="AD168" s="28" t="str">
        <f t="shared" si="23"/>
        <v>'614',</v>
      </c>
      <c r="AE168" s="28" t="str">
        <f t="shared" si="24"/>
        <v>'818',</v>
      </c>
      <c r="AF168" t="str">
        <f t="shared" si="25"/>
        <v>'166',</v>
      </c>
      <c r="AG168" t="str">
        <f t="shared" si="26"/>
        <v>'15% din umiditate este folosita pentru crestere, 85% se pierde prin evaporare si transpiratie.'),</v>
      </c>
      <c r="AL168" s="25">
        <v>6.14</v>
      </c>
      <c r="AM168" s="25">
        <v>8.18</v>
      </c>
      <c r="AX168">
        <v>1166</v>
      </c>
      <c r="AY168" t="s">
        <v>128</v>
      </c>
      <c r="AZ168" t="s">
        <v>129</v>
      </c>
      <c r="BA168" s="22">
        <v>0.21</v>
      </c>
      <c r="BB168" s="22">
        <v>0.4</v>
      </c>
      <c r="BD168">
        <v>166</v>
      </c>
      <c r="BE168" t="s">
        <v>130</v>
      </c>
    </row>
    <row r="169" spans="19:57" x14ac:dyDescent="0.35">
      <c r="S169">
        <v>9</v>
      </c>
      <c r="T169" t="s">
        <v>10</v>
      </c>
      <c r="U169">
        <v>1</v>
      </c>
      <c r="Y169" t="str">
        <f t="shared" si="18"/>
        <v>('1167',</v>
      </c>
      <c r="Z169" t="str">
        <f t="shared" si="19"/>
        <v>'38°C',</v>
      </c>
      <c r="AA169" t="str">
        <f t="shared" si="20"/>
        <v>'44.9°C',</v>
      </c>
      <c r="AB169" s="22" t="str">
        <f t="shared" si="21"/>
        <v>'21%',</v>
      </c>
      <c r="AC169" s="22" t="str">
        <f t="shared" si="22"/>
        <v>'40%',</v>
      </c>
      <c r="AD169" s="28" t="str">
        <f t="shared" si="23"/>
        <v>'614',</v>
      </c>
      <c r="AE169" s="28" t="str">
        <f t="shared" si="24"/>
        <v>'818',</v>
      </c>
      <c r="AF169" t="str">
        <f t="shared" si="25"/>
        <v>'167',</v>
      </c>
      <c r="AG169" t="str">
        <f t="shared" si="26"/>
        <v>'15% din umiditate este folosita pentru crestere, 85% se pierde prin evaporare si transpiratie.'),</v>
      </c>
      <c r="AL169" s="25">
        <v>6.14</v>
      </c>
      <c r="AM169" s="25">
        <v>8.18</v>
      </c>
      <c r="AX169">
        <v>1167</v>
      </c>
      <c r="AY169" t="s">
        <v>128</v>
      </c>
      <c r="AZ169" t="s">
        <v>129</v>
      </c>
      <c r="BA169" s="22">
        <v>0.21</v>
      </c>
      <c r="BB169" s="22">
        <v>0.4</v>
      </c>
      <c r="BD169">
        <v>167</v>
      </c>
      <c r="BE169" t="s">
        <v>130</v>
      </c>
    </row>
    <row r="170" spans="19:57" x14ac:dyDescent="0.35">
      <c r="S170">
        <v>90</v>
      </c>
      <c r="T170" t="s">
        <v>14</v>
      </c>
      <c r="U170">
        <v>2</v>
      </c>
      <c r="Y170" t="str">
        <f t="shared" si="18"/>
        <v>('1168',</v>
      </c>
      <c r="Z170" t="str">
        <f t="shared" si="19"/>
        <v>'32°C',</v>
      </c>
      <c r="AA170" t="str">
        <f t="shared" si="20"/>
        <v>'37.9°C',</v>
      </c>
      <c r="AB170" s="22" t="str">
        <f t="shared" si="21"/>
        <v>'41%',</v>
      </c>
      <c r="AC170" s="22" t="str">
        <f t="shared" si="22"/>
        <v>'60%',</v>
      </c>
      <c r="AD170" s="28" t="str">
        <f t="shared" si="23"/>
        <v>'614',</v>
      </c>
      <c r="AE170" s="28" t="str">
        <f t="shared" si="24"/>
        <v>'818',</v>
      </c>
      <c r="AF170" t="str">
        <f t="shared" si="25"/>
        <v>'168',</v>
      </c>
      <c r="AG170" t="str">
        <f t="shared" si="26"/>
        <v>'Cresterea plantelor incetineste.'),</v>
      </c>
      <c r="AL170" s="25">
        <v>6.14</v>
      </c>
      <c r="AM170" s="25">
        <v>8.18</v>
      </c>
      <c r="AX170">
        <v>1168</v>
      </c>
      <c r="AY170" t="s">
        <v>131</v>
      </c>
      <c r="AZ170" t="s">
        <v>132</v>
      </c>
      <c r="BA170" s="22">
        <v>0.41</v>
      </c>
      <c r="BB170" s="22">
        <v>0.6</v>
      </c>
      <c r="BD170">
        <v>168</v>
      </c>
      <c r="BE170" t="s">
        <v>133</v>
      </c>
    </row>
    <row r="171" spans="19:57" x14ac:dyDescent="0.35">
      <c r="S171">
        <v>91</v>
      </c>
      <c r="T171" t="s">
        <v>78</v>
      </c>
      <c r="U171">
        <v>2</v>
      </c>
      <c r="Y171" t="str">
        <f t="shared" si="18"/>
        <v>('1169',</v>
      </c>
      <c r="Z171" t="str">
        <f t="shared" si="19"/>
        <v>'32°C',</v>
      </c>
      <c r="AA171" t="str">
        <f t="shared" si="20"/>
        <v>'37.9°C',</v>
      </c>
      <c r="AB171" s="22" t="str">
        <f t="shared" si="21"/>
        <v>'41%',</v>
      </c>
      <c r="AC171" s="22" t="str">
        <f t="shared" si="22"/>
        <v>'60%',</v>
      </c>
      <c r="AD171" s="28" t="str">
        <f t="shared" si="23"/>
        <v>'614',</v>
      </c>
      <c r="AE171" s="28" t="str">
        <f t="shared" si="24"/>
        <v>'818',</v>
      </c>
      <c r="AF171" t="str">
        <f t="shared" si="25"/>
        <v>'169',</v>
      </c>
      <c r="AG171" t="str">
        <f t="shared" si="26"/>
        <v>'Cresterea plantelor incetineste.'),</v>
      </c>
      <c r="AL171" s="25">
        <v>6.14</v>
      </c>
      <c r="AM171" s="25">
        <v>8.18</v>
      </c>
      <c r="AX171">
        <v>1169</v>
      </c>
      <c r="AY171" t="s">
        <v>131</v>
      </c>
      <c r="AZ171" t="s">
        <v>132</v>
      </c>
      <c r="BA171" s="22">
        <v>0.41</v>
      </c>
      <c r="BB171" s="22">
        <v>0.6</v>
      </c>
      <c r="BD171">
        <v>169</v>
      </c>
      <c r="BE171" t="s">
        <v>133</v>
      </c>
    </row>
    <row r="172" spans="19:57" x14ac:dyDescent="0.35">
      <c r="S172">
        <v>92</v>
      </c>
      <c r="T172" t="s">
        <v>79</v>
      </c>
      <c r="U172">
        <v>2</v>
      </c>
      <c r="Y172" t="str">
        <f t="shared" si="18"/>
        <v>('1170',</v>
      </c>
      <c r="Z172" t="str">
        <f t="shared" si="19"/>
        <v>'32°C',</v>
      </c>
      <c r="AA172" t="str">
        <f t="shared" si="20"/>
        <v>'37.9°C',</v>
      </c>
      <c r="AB172" s="22" t="str">
        <f t="shared" si="21"/>
        <v>'41%',</v>
      </c>
      <c r="AC172" s="22" t="str">
        <f t="shared" si="22"/>
        <v>'60%',</v>
      </c>
      <c r="AD172" s="28" t="str">
        <f t="shared" si="23"/>
        <v>'614',</v>
      </c>
      <c r="AE172" s="28" t="str">
        <f t="shared" si="24"/>
        <v>'818',</v>
      </c>
      <c r="AF172" t="str">
        <f t="shared" si="25"/>
        <v>'170',</v>
      </c>
      <c r="AG172" t="str">
        <f t="shared" si="26"/>
        <v>'Cresterea plantelor incetineste.'),</v>
      </c>
      <c r="AL172" s="25">
        <v>6.14</v>
      </c>
      <c r="AM172" s="25">
        <v>8.18</v>
      </c>
      <c r="AX172">
        <v>1170</v>
      </c>
      <c r="AY172" t="s">
        <v>131</v>
      </c>
      <c r="AZ172" t="s">
        <v>132</v>
      </c>
      <c r="BA172" s="22">
        <v>0.41</v>
      </c>
      <c r="BB172" s="22">
        <v>0.6</v>
      </c>
      <c r="BD172">
        <v>170</v>
      </c>
      <c r="BE172" t="s">
        <v>133</v>
      </c>
    </row>
    <row r="173" spans="19:57" x14ac:dyDescent="0.35">
      <c r="S173">
        <v>93</v>
      </c>
      <c r="T173" t="s">
        <v>80</v>
      </c>
      <c r="U173">
        <v>2</v>
      </c>
      <c r="Y173" t="str">
        <f t="shared" si="18"/>
        <v>('1171',</v>
      </c>
      <c r="Z173" t="str">
        <f t="shared" si="19"/>
        <v>'32°C',</v>
      </c>
      <c r="AA173" t="str">
        <f t="shared" si="20"/>
        <v>'37.9°C',</v>
      </c>
      <c r="AB173" s="22" t="str">
        <f t="shared" si="21"/>
        <v>'41%',</v>
      </c>
      <c r="AC173" s="22" t="str">
        <f t="shared" si="22"/>
        <v>'60%',</v>
      </c>
      <c r="AD173" s="28" t="str">
        <f t="shared" si="23"/>
        <v>'614',</v>
      </c>
      <c r="AE173" s="28" t="str">
        <f t="shared" si="24"/>
        <v>'818',</v>
      </c>
      <c r="AF173" t="str">
        <f t="shared" si="25"/>
        <v>'171',</v>
      </c>
      <c r="AG173" t="str">
        <f t="shared" si="26"/>
        <v>'Cresterea plantelor incetineste.'),</v>
      </c>
      <c r="AL173" s="25">
        <v>6.14</v>
      </c>
      <c r="AM173" s="25">
        <v>8.18</v>
      </c>
      <c r="AX173">
        <v>1171</v>
      </c>
      <c r="AY173" t="s">
        <v>131</v>
      </c>
      <c r="AZ173" t="s">
        <v>132</v>
      </c>
      <c r="BA173" s="22">
        <v>0.41</v>
      </c>
      <c r="BB173" s="22">
        <v>0.6</v>
      </c>
      <c r="BD173">
        <v>171</v>
      </c>
      <c r="BE173" t="s">
        <v>133</v>
      </c>
    </row>
    <row r="174" spans="19:57" x14ac:dyDescent="0.35">
      <c r="S174">
        <v>94</v>
      </c>
      <c r="T174" t="s">
        <v>81</v>
      </c>
      <c r="U174">
        <v>2</v>
      </c>
      <c r="Y174" t="str">
        <f t="shared" si="18"/>
        <v>('1172',</v>
      </c>
      <c r="Z174" t="str">
        <f t="shared" si="19"/>
        <v>'32°C',</v>
      </c>
      <c r="AA174" t="str">
        <f t="shared" si="20"/>
        <v>'37.9°C',</v>
      </c>
      <c r="AB174" s="22" t="str">
        <f t="shared" si="21"/>
        <v>'41%',</v>
      </c>
      <c r="AC174" s="22" t="str">
        <f t="shared" si="22"/>
        <v>'60%',</v>
      </c>
      <c r="AD174" s="28" t="str">
        <f t="shared" si="23"/>
        <v>'614',</v>
      </c>
      <c r="AE174" s="28" t="str">
        <f t="shared" si="24"/>
        <v>'818',</v>
      </c>
      <c r="AF174" t="str">
        <f t="shared" si="25"/>
        <v>'172',</v>
      </c>
      <c r="AG174" t="str">
        <f t="shared" si="26"/>
        <v>'Cresterea plantelor incetineste.'),</v>
      </c>
      <c r="AL174" s="25">
        <v>6.14</v>
      </c>
      <c r="AM174" s="25">
        <v>8.18</v>
      </c>
      <c r="AX174">
        <v>1172</v>
      </c>
      <c r="AY174" t="s">
        <v>131</v>
      </c>
      <c r="AZ174" t="s">
        <v>132</v>
      </c>
      <c r="BA174" s="22">
        <v>0.41</v>
      </c>
      <c r="BB174" s="22">
        <v>0.6</v>
      </c>
      <c r="BD174">
        <v>172</v>
      </c>
      <c r="BE174" t="s">
        <v>133</v>
      </c>
    </row>
    <row r="175" spans="19:57" x14ac:dyDescent="0.35">
      <c r="S175">
        <v>95</v>
      </c>
      <c r="T175" t="s">
        <v>15</v>
      </c>
      <c r="U175">
        <v>2</v>
      </c>
      <c r="Y175" t="str">
        <f t="shared" si="18"/>
        <v>('1173',</v>
      </c>
      <c r="Z175" t="str">
        <f t="shared" si="19"/>
        <v>'32°C',</v>
      </c>
      <c r="AA175" t="str">
        <f t="shared" si="20"/>
        <v>'37.9°C',</v>
      </c>
      <c r="AB175" s="22" t="str">
        <f t="shared" si="21"/>
        <v>'41%',</v>
      </c>
      <c r="AC175" s="22" t="str">
        <f t="shared" si="22"/>
        <v>'60%',</v>
      </c>
      <c r="AD175" s="28" t="str">
        <f t="shared" si="23"/>
        <v>'614',</v>
      </c>
      <c r="AE175" s="28" t="str">
        <f t="shared" si="24"/>
        <v>'818',</v>
      </c>
      <c r="AF175" t="str">
        <f t="shared" si="25"/>
        <v>'173',</v>
      </c>
      <c r="AG175" t="str">
        <f t="shared" si="26"/>
        <v>'Cresterea plantelor incetineste.'),</v>
      </c>
      <c r="AL175" s="25">
        <v>6.14</v>
      </c>
      <c r="AM175" s="25">
        <v>8.18</v>
      </c>
      <c r="AX175">
        <v>1173</v>
      </c>
      <c r="AY175" t="s">
        <v>131</v>
      </c>
      <c r="AZ175" t="s">
        <v>132</v>
      </c>
      <c r="BA175" s="22">
        <v>0.41</v>
      </c>
      <c r="BB175" s="22">
        <v>0.6</v>
      </c>
      <c r="BD175">
        <v>173</v>
      </c>
      <c r="BE175" t="s">
        <v>133</v>
      </c>
    </row>
    <row r="176" spans="19:57" x14ac:dyDescent="0.35">
      <c r="S176">
        <v>96</v>
      </c>
      <c r="T176" t="s">
        <v>16</v>
      </c>
      <c r="U176">
        <v>2</v>
      </c>
      <c r="Y176" t="str">
        <f t="shared" si="18"/>
        <v>('1174',</v>
      </c>
      <c r="Z176" t="str">
        <f t="shared" si="19"/>
        <v>'32°C',</v>
      </c>
      <c r="AA176" t="str">
        <f t="shared" si="20"/>
        <v>'37.9°C',</v>
      </c>
      <c r="AB176" s="22" t="str">
        <f t="shared" si="21"/>
        <v>'41%',</v>
      </c>
      <c r="AC176" s="22" t="str">
        <f t="shared" si="22"/>
        <v>'60%',</v>
      </c>
      <c r="AD176" s="28" t="str">
        <f t="shared" si="23"/>
        <v>'614',</v>
      </c>
      <c r="AE176" s="28" t="str">
        <f t="shared" si="24"/>
        <v>'818',</v>
      </c>
      <c r="AF176" t="str">
        <f t="shared" si="25"/>
        <v>'174',</v>
      </c>
      <c r="AG176" t="str">
        <f t="shared" si="26"/>
        <v>'Cresterea plantelor incetineste.'),</v>
      </c>
      <c r="AL176" s="25">
        <v>6.14</v>
      </c>
      <c r="AM176" s="25">
        <v>8.18</v>
      </c>
      <c r="AX176">
        <v>1174</v>
      </c>
      <c r="AY176" t="s">
        <v>131</v>
      </c>
      <c r="AZ176" t="s">
        <v>132</v>
      </c>
      <c r="BA176" s="22">
        <v>0.41</v>
      </c>
      <c r="BB176" s="22">
        <v>0.6</v>
      </c>
      <c r="BD176">
        <v>174</v>
      </c>
      <c r="BE176" t="s">
        <v>133</v>
      </c>
    </row>
    <row r="177" spans="19:57" x14ac:dyDescent="0.35">
      <c r="S177">
        <v>97</v>
      </c>
      <c r="T177" t="s">
        <v>82</v>
      </c>
      <c r="U177">
        <v>2</v>
      </c>
      <c r="Y177" t="str">
        <f t="shared" si="18"/>
        <v>('1175',</v>
      </c>
      <c r="Z177" t="str">
        <f t="shared" si="19"/>
        <v>'32°C',</v>
      </c>
      <c r="AA177" t="str">
        <f t="shared" si="20"/>
        <v>'37.9°C',</v>
      </c>
      <c r="AB177" s="22" t="str">
        <f t="shared" si="21"/>
        <v>'41%',</v>
      </c>
      <c r="AC177" s="22" t="str">
        <f t="shared" si="22"/>
        <v>'60%',</v>
      </c>
      <c r="AD177" s="28" t="str">
        <f t="shared" si="23"/>
        <v>'614',</v>
      </c>
      <c r="AE177" s="28" t="str">
        <f t="shared" si="24"/>
        <v>'818',</v>
      </c>
      <c r="AF177" t="str">
        <f t="shared" si="25"/>
        <v>'175',</v>
      </c>
      <c r="AG177" t="str">
        <f t="shared" si="26"/>
        <v>'Cresterea plantelor incetineste.'),</v>
      </c>
      <c r="AL177" s="25">
        <v>6.14</v>
      </c>
      <c r="AM177" s="25">
        <v>8.18</v>
      </c>
      <c r="AX177">
        <v>1175</v>
      </c>
      <c r="AY177" t="s">
        <v>131</v>
      </c>
      <c r="AZ177" t="s">
        <v>132</v>
      </c>
      <c r="BA177" s="22">
        <v>0.41</v>
      </c>
      <c r="BB177" s="22">
        <v>0.6</v>
      </c>
      <c r="BD177">
        <v>175</v>
      </c>
      <c r="BE177" t="s">
        <v>133</v>
      </c>
    </row>
    <row r="178" spans="19:57" x14ac:dyDescent="0.35">
      <c r="S178">
        <v>98</v>
      </c>
      <c r="T178" t="s">
        <v>83</v>
      </c>
      <c r="U178">
        <v>2</v>
      </c>
      <c r="Y178" t="str">
        <f t="shared" si="18"/>
        <v>('1176',</v>
      </c>
      <c r="Z178" t="str">
        <f t="shared" si="19"/>
        <v>'32°C',</v>
      </c>
      <c r="AA178" t="str">
        <f t="shared" si="20"/>
        <v>'37.9°C',</v>
      </c>
      <c r="AB178" s="22" t="str">
        <f t="shared" si="21"/>
        <v>'41%',</v>
      </c>
      <c r="AC178" s="22" t="str">
        <f t="shared" si="22"/>
        <v>'60%',</v>
      </c>
      <c r="AD178" s="28" t="str">
        <f t="shared" si="23"/>
        <v>'614',</v>
      </c>
      <c r="AE178" s="28" t="str">
        <f t="shared" si="24"/>
        <v>'818',</v>
      </c>
      <c r="AF178" t="str">
        <f t="shared" si="25"/>
        <v>'176',</v>
      </c>
      <c r="AG178" t="str">
        <f t="shared" si="26"/>
        <v>'Cresterea plantelor incetineste.'),</v>
      </c>
      <c r="AL178" s="25">
        <v>6.14</v>
      </c>
      <c r="AM178" s="25">
        <v>8.18</v>
      </c>
      <c r="AX178">
        <v>1176</v>
      </c>
      <c r="AY178" t="s">
        <v>131</v>
      </c>
      <c r="AZ178" t="s">
        <v>132</v>
      </c>
      <c r="BA178" s="22">
        <v>0.41</v>
      </c>
      <c r="BB178" s="22">
        <v>0.6</v>
      </c>
      <c r="BD178">
        <v>176</v>
      </c>
      <c r="BE178" t="s">
        <v>133</v>
      </c>
    </row>
    <row r="179" spans="19:57" x14ac:dyDescent="0.35">
      <c r="S179">
        <v>99</v>
      </c>
      <c r="T179" t="s">
        <v>84</v>
      </c>
      <c r="U179">
        <v>2</v>
      </c>
      <c r="Y179" t="str">
        <f t="shared" si="18"/>
        <v>('1177',</v>
      </c>
      <c r="Z179" t="str">
        <f t="shared" si="19"/>
        <v>'18°C',</v>
      </c>
      <c r="AA179" t="str">
        <f t="shared" si="20"/>
        <v>'31.9°C',</v>
      </c>
      <c r="AB179" s="22" t="str">
        <f t="shared" si="21"/>
        <v>'61%',</v>
      </c>
      <c r="AC179" s="22" t="str">
        <f t="shared" si="22"/>
        <v>'80%',</v>
      </c>
      <c r="AD179" s="28" t="str">
        <f t="shared" si="23"/>
        <v>'614',</v>
      </c>
      <c r="AE179" s="28" t="str">
        <f t="shared" si="24"/>
        <v>'818',</v>
      </c>
      <c r="AF179" t="str">
        <f t="shared" si="25"/>
        <v>'177',</v>
      </c>
      <c r="AG179" t="str">
        <f t="shared" si="26"/>
        <v>'Interval ideal pentru nitrificare, cresterea plantelor si plantare'),</v>
      </c>
      <c r="AL179" s="25">
        <v>6.14</v>
      </c>
      <c r="AM179" s="25">
        <v>8.18</v>
      </c>
      <c r="AX179">
        <v>1177</v>
      </c>
      <c r="AY179" t="s">
        <v>134</v>
      </c>
      <c r="AZ179" t="s">
        <v>135</v>
      </c>
      <c r="BA179" s="22">
        <v>0.61</v>
      </c>
      <c r="BB179" s="22">
        <v>0.8</v>
      </c>
      <c r="BD179">
        <v>177</v>
      </c>
      <c r="BE179" t="s">
        <v>136</v>
      </c>
    </row>
  </sheetData>
  <sortState xmlns:xlrd2="http://schemas.microsoft.com/office/spreadsheetml/2017/richdata2" ref="Y3:AG179">
    <sortCondition ref="Y1:Y179"/>
  </sortState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8EF23-4233-4070-841E-9DABA4143D92}">
  <dimension ref="A1:BE179"/>
  <sheetViews>
    <sheetView tabSelected="1" topLeftCell="AU158" zoomScale="101" workbookViewId="0">
      <selection activeCell="BE177" sqref="BE177"/>
    </sheetView>
  </sheetViews>
  <sheetFormatPr defaultRowHeight="14.5" x14ac:dyDescent="0.35"/>
  <cols>
    <col min="1" max="1" width="10.90625" bestFit="1" customWidth="1"/>
    <col min="2" max="2" width="17.7265625" bestFit="1" customWidth="1"/>
    <col min="3" max="3" width="18" bestFit="1" customWidth="1"/>
    <col min="4" max="4" width="16.1796875" bestFit="1" customWidth="1"/>
    <col min="6" max="6" width="10.90625" bestFit="1" customWidth="1"/>
    <col min="7" max="7" width="16.81640625" bestFit="1" customWidth="1"/>
    <col min="8" max="8" width="18" bestFit="1" customWidth="1"/>
    <col min="9" max="9" width="16.1796875" bestFit="1" customWidth="1"/>
    <col min="12" max="13" width="10.453125" bestFit="1" customWidth="1"/>
    <col min="14" max="14" width="9.26953125" bestFit="1" customWidth="1"/>
    <col min="20" max="20" width="18.1796875" bestFit="1" customWidth="1"/>
    <col min="26" max="26" width="9.7265625" bestFit="1" customWidth="1"/>
    <col min="27" max="27" width="10.08984375" bestFit="1" customWidth="1"/>
    <col min="28" max="28" width="13.26953125" bestFit="1" customWidth="1"/>
    <col min="29" max="29" width="13.6328125" customWidth="1"/>
    <col min="30" max="30" width="14.453125" style="28" bestFit="1" customWidth="1"/>
    <col min="31" max="31" width="14.81640625" style="28" bestFit="1" customWidth="1"/>
    <col min="33" max="33" width="79.7265625" bestFit="1" customWidth="1"/>
    <col min="36" max="36" width="16" bestFit="1" customWidth="1"/>
    <col min="38" max="38" width="14.453125" style="25" bestFit="1" customWidth="1"/>
    <col min="39" max="39" width="14.81640625" style="25" bestFit="1" customWidth="1"/>
    <col min="45" max="45" width="8.453125" bestFit="1" customWidth="1"/>
    <col min="48" max="48" width="10.08984375" bestFit="1" customWidth="1"/>
    <col min="56" max="56" width="3.81640625" bestFit="1" customWidth="1"/>
    <col min="57" max="57" width="78.81640625" bestFit="1" customWidth="1"/>
  </cols>
  <sheetData>
    <row r="1" spans="1:57" s="3" customFormat="1" ht="36" x14ac:dyDescent="0.8">
      <c r="A1" s="13"/>
      <c r="B1" s="14" t="s">
        <v>120</v>
      </c>
      <c r="C1" s="14"/>
      <c r="D1" s="15"/>
      <c r="F1" s="16"/>
      <c r="G1" s="17" t="s">
        <v>119</v>
      </c>
      <c r="H1" s="17"/>
      <c r="I1" s="18"/>
      <c r="K1" s="19"/>
      <c r="L1" s="20" t="s">
        <v>118</v>
      </c>
      <c r="M1" s="20"/>
      <c r="N1" s="21"/>
      <c r="AD1" s="27"/>
      <c r="AE1" s="27"/>
      <c r="AL1" s="26"/>
      <c r="AM1" s="26"/>
    </row>
    <row r="2" spans="1:57" x14ac:dyDescent="0.35">
      <c r="A2" s="9" t="s">
        <v>0</v>
      </c>
      <c r="B2" s="10" t="s">
        <v>1</v>
      </c>
      <c r="C2" s="11" t="s">
        <v>2</v>
      </c>
      <c r="D2" s="12" t="s">
        <v>3</v>
      </c>
      <c r="F2" s="4" t="s">
        <v>0</v>
      </c>
      <c r="G2" s="5" t="s">
        <v>1</v>
      </c>
      <c r="H2" s="6" t="s">
        <v>2</v>
      </c>
      <c r="I2" s="7" t="s">
        <v>3</v>
      </c>
      <c r="K2" s="4" t="s">
        <v>0</v>
      </c>
      <c r="L2" s="5" t="s">
        <v>1</v>
      </c>
      <c r="M2" s="6" t="s">
        <v>2</v>
      </c>
      <c r="N2" s="7" t="s">
        <v>3</v>
      </c>
      <c r="S2" t="s">
        <v>122</v>
      </c>
      <c r="T2" t="s">
        <v>123</v>
      </c>
      <c r="U2" t="s">
        <v>124</v>
      </c>
      <c r="Y2" t="s">
        <v>138</v>
      </c>
      <c r="Z2" t="s">
        <v>139</v>
      </c>
      <c r="AA2" t="s">
        <v>140</v>
      </c>
      <c r="AB2" t="s">
        <v>141</v>
      </c>
      <c r="AC2" t="s">
        <v>142</v>
      </c>
      <c r="AD2" s="28" t="s">
        <v>158</v>
      </c>
      <c r="AE2" s="28" t="s">
        <v>159</v>
      </c>
      <c r="AF2" t="s">
        <v>122</v>
      </c>
      <c r="AG2" t="s">
        <v>143</v>
      </c>
      <c r="AI2" t="s">
        <v>124</v>
      </c>
      <c r="AJ2" t="s">
        <v>123</v>
      </c>
      <c r="AL2" s="25" t="s">
        <v>158</v>
      </c>
      <c r="AM2" s="25" t="s">
        <v>159</v>
      </c>
      <c r="AS2" s="9" t="s">
        <v>0</v>
      </c>
      <c r="AT2" t="s">
        <v>147</v>
      </c>
      <c r="AV2" t="s">
        <v>151</v>
      </c>
    </row>
    <row r="3" spans="1:57" x14ac:dyDescent="0.35">
      <c r="A3" s="8" t="s">
        <v>7</v>
      </c>
      <c r="B3" s="8" t="s">
        <v>6</v>
      </c>
      <c r="C3" s="8" t="s">
        <v>4</v>
      </c>
      <c r="D3" s="8" t="s">
        <v>15</v>
      </c>
      <c r="F3" s="8" t="s">
        <v>72</v>
      </c>
      <c r="G3" s="8" t="s">
        <v>112</v>
      </c>
      <c r="H3" s="8" t="s">
        <v>78</v>
      </c>
      <c r="I3" s="8" t="s">
        <v>15</v>
      </c>
      <c r="K3" s="8"/>
      <c r="L3" s="8" t="s">
        <v>23</v>
      </c>
      <c r="M3" s="8" t="s">
        <v>23</v>
      </c>
      <c r="N3" s="8" t="s">
        <v>31</v>
      </c>
      <c r="S3">
        <v>1</v>
      </c>
      <c r="T3" t="s">
        <v>7</v>
      </c>
      <c r="U3">
        <v>1</v>
      </c>
      <c r="Y3" t="str">
        <f xml:space="preserve"> "("&amp;"'"&amp;AX3 &amp;"'"&amp;","</f>
        <v>('11',</v>
      </c>
      <c r="Z3" t="str">
        <f xml:space="preserve"> "'"&amp;AY3&amp;"'"&amp;","</f>
        <v>'45°C',</v>
      </c>
      <c r="AA3" t="str">
        <f xml:space="preserve"> "'"&amp;AZ3&amp;"'"&amp;","</f>
        <v>'54°C',</v>
      </c>
      <c r="AB3" s="22" t="str">
        <f xml:space="preserve"> "'"&amp;BA3*100&amp;"%"&amp;"'"&amp;","</f>
        <v>'0%',</v>
      </c>
      <c r="AC3" s="22" t="str">
        <f xml:space="preserve"> "'"&amp;BB3*100&amp;"%"&amp;"'"&amp;","</f>
        <v>'20%',</v>
      </c>
      <c r="AD3" s="28" t="str">
        <f xml:space="preserve"> "'"&amp;AL3 *100&amp;"'"&amp;","</f>
        <v>'819',</v>
      </c>
      <c r="AE3" s="28" t="str">
        <f xml:space="preserve"> "'"&amp;AM3 *100&amp;"'"&amp;","</f>
        <v>'1024',</v>
      </c>
      <c r="AF3" t="str">
        <f xml:space="preserve"> "'"&amp;BD3&amp;"'"&amp;","</f>
        <v>'1',</v>
      </c>
      <c r="AG3" t="str">
        <f xml:space="preserve"> "'"&amp;BE3&amp;"'"&amp;")"&amp;","</f>
        <v>'Unele specii de bacterii incep sa moara.'),</v>
      </c>
      <c r="AI3">
        <v>1</v>
      </c>
      <c r="AJ3" t="s">
        <v>144</v>
      </c>
      <c r="AL3" s="25">
        <v>8.19</v>
      </c>
      <c r="AM3" s="25">
        <v>10.24</v>
      </c>
      <c r="AS3" s="10" t="s">
        <v>1</v>
      </c>
      <c r="AT3" t="s">
        <v>148</v>
      </c>
      <c r="AV3" t="s">
        <v>152</v>
      </c>
      <c r="AX3">
        <v>11</v>
      </c>
      <c r="AY3" t="s">
        <v>125</v>
      </c>
      <c r="AZ3" t="s">
        <v>126</v>
      </c>
      <c r="BA3" s="22">
        <v>0</v>
      </c>
      <c r="BB3" s="22">
        <v>0.2</v>
      </c>
      <c r="BD3">
        <v>1</v>
      </c>
      <c r="BE3" t="s">
        <v>127</v>
      </c>
    </row>
    <row r="4" spans="1:57" x14ac:dyDescent="0.35">
      <c r="A4" s="8" t="s">
        <v>8</v>
      </c>
      <c r="B4" s="8" t="s">
        <v>8</v>
      </c>
      <c r="C4" s="8" t="s">
        <v>5</v>
      </c>
      <c r="D4" s="8" t="s">
        <v>19</v>
      </c>
      <c r="F4" s="8" t="s">
        <v>73</v>
      </c>
      <c r="G4" s="8" t="s">
        <v>14</v>
      </c>
      <c r="H4" s="8" t="s">
        <v>112</v>
      </c>
      <c r="I4" s="8" t="s">
        <v>74</v>
      </c>
      <c r="K4" s="8"/>
      <c r="L4" s="8" t="s">
        <v>24</v>
      </c>
      <c r="M4" s="8" t="s">
        <v>24</v>
      </c>
      <c r="N4" s="8"/>
      <c r="S4">
        <v>10</v>
      </c>
      <c r="T4" t="s">
        <v>11</v>
      </c>
      <c r="U4">
        <v>1</v>
      </c>
      <c r="Y4" t="str">
        <f t="shared" ref="Y4:Y67" si="0" xml:space="preserve"> "("&amp;"'"&amp;AX4 &amp;"'"&amp;","</f>
        <v>('12',</v>
      </c>
      <c r="Z4" t="str">
        <f t="shared" ref="Z4:AA67" si="1" xml:space="preserve"> "'"&amp;AY4&amp;"'"&amp;","</f>
        <v>'45°C',</v>
      </c>
      <c r="AA4" t="str">
        <f t="shared" si="1"/>
        <v>'54°C',</v>
      </c>
      <c r="AB4" s="22" t="str">
        <f t="shared" ref="AB4:AC67" si="2" xml:space="preserve"> "'"&amp;BA4*100&amp;"%"&amp;"'"&amp;","</f>
        <v>'0%',</v>
      </c>
      <c r="AC4" s="22" t="str">
        <f t="shared" si="2"/>
        <v>'20%',</v>
      </c>
      <c r="AD4" s="28" t="str">
        <f t="shared" ref="AD4:AE67" si="3" xml:space="preserve"> "'"&amp;AL4 *100&amp;"'"&amp;","</f>
        <v>'614',</v>
      </c>
      <c r="AE4" s="28" t="str">
        <f t="shared" si="3"/>
        <v>'818',</v>
      </c>
      <c r="AF4" t="str">
        <f t="shared" ref="AF4:AF67" si="4" xml:space="preserve"> "'"&amp;BD4&amp;"'"&amp;","</f>
        <v>'2',</v>
      </c>
      <c r="AG4" t="str">
        <f t="shared" ref="AG4:AG67" si="5" xml:space="preserve"> "'"&amp;BE4&amp;"'"&amp;")"&amp;","</f>
        <v>'Unele specii de bacterii incep sa moara.'),</v>
      </c>
      <c r="AI4">
        <v>2</v>
      </c>
      <c r="AJ4" t="s">
        <v>145</v>
      </c>
      <c r="AL4" s="25">
        <v>6.14</v>
      </c>
      <c r="AM4" s="25">
        <v>8.18</v>
      </c>
      <c r="AS4" s="11" t="s">
        <v>2</v>
      </c>
      <c r="AT4" t="s">
        <v>149</v>
      </c>
      <c r="AV4" t="s">
        <v>153</v>
      </c>
      <c r="AX4">
        <v>12</v>
      </c>
      <c r="AY4" t="s">
        <v>125</v>
      </c>
      <c r="AZ4" t="s">
        <v>126</v>
      </c>
      <c r="BA4" s="22">
        <v>0</v>
      </c>
      <c r="BB4" s="22">
        <v>0.2</v>
      </c>
      <c r="BD4">
        <v>2</v>
      </c>
      <c r="BE4" t="s">
        <v>127</v>
      </c>
    </row>
    <row r="5" spans="1:57" x14ac:dyDescent="0.35">
      <c r="A5" s="8" t="s">
        <v>52</v>
      </c>
      <c r="B5" s="8" t="s">
        <v>9</v>
      </c>
      <c r="C5" s="8" t="s">
        <v>12</v>
      </c>
      <c r="D5" s="8" t="s">
        <v>22</v>
      </c>
      <c r="F5" s="8"/>
      <c r="G5" s="8" t="s">
        <v>78</v>
      </c>
      <c r="H5" s="8" t="s">
        <v>15</v>
      </c>
      <c r="I5" s="8" t="s">
        <v>75</v>
      </c>
      <c r="K5" s="8"/>
      <c r="L5" s="8" t="s">
        <v>25</v>
      </c>
      <c r="M5" s="8" t="s">
        <v>25</v>
      </c>
      <c r="N5" s="8"/>
      <c r="S5">
        <v>100</v>
      </c>
      <c r="T5" t="s">
        <v>85</v>
      </c>
      <c r="U5">
        <v>2</v>
      </c>
      <c r="Y5" t="str">
        <f t="shared" si="0"/>
        <v>('13',</v>
      </c>
      <c r="Z5" t="str">
        <f t="shared" si="1"/>
        <v>'45°C',</v>
      </c>
      <c r="AA5" t="str">
        <f t="shared" si="1"/>
        <v>'54°C',</v>
      </c>
      <c r="AB5" s="22" t="str">
        <f t="shared" si="2"/>
        <v>'0%',</v>
      </c>
      <c r="AC5" s="22" t="str">
        <f t="shared" si="2"/>
        <v>'20%',</v>
      </c>
      <c r="AD5" s="28" t="str">
        <f t="shared" si="3"/>
        <v>'614',</v>
      </c>
      <c r="AE5" s="28" t="str">
        <f t="shared" si="3"/>
        <v>'818',</v>
      </c>
      <c r="AF5" t="str">
        <f t="shared" si="4"/>
        <v>'3',</v>
      </c>
      <c r="AG5" t="str">
        <f t="shared" si="5"/>
        <v>'Unele specii de bacterii incep sa moara.'),</v>
      </c>
      <c r="AI5">
        <v>3</v>
      </c>
      <c r="AJ5" t="s">
        <v>146</v>
      </c>
      <c r="AL5" s="25">
        <v>6.14</v>
      </c>
      <c r="AM5" s="25">
        <v>8.18</v>
      </c>
      <c r="AS5" s="12" t="s">
        <v>3</v>
      </c>
      <c r="AT5" t="s">
        <v>150</v>
      </c>
      <c r="AV5" t="s">
        <v>154</v>
      </c>
      <c r="AX5">
        <v>13</v>
      </c>
      <c r="AY5" t="s">
        <v>125</v>
      </c>
      <c r="AZ5" t="s">
        <v>126</v>
      </c>
      <c r="BA5" s="22">
        <v>0</v>
      </c>
      <c r="BB5" s="22">
        <v>0.2</v>
      </c>
      <c r="BD5">
        <v>3</v>
      </c>
      <c r="BE5" t="s">
        <v>127</v>
      </c>
    </row>
    <row r="6" spans="1:57" x14ac:dyDescent="0.35">
      <c r="A6" s="8" t="s">
        <v>56</v>
      </c>
      <c r="B6" s="8" t="s">
        <v>10</v>
      </c>
      <c r="C6" s="8" t="s">
        <v>13</v>
      </c>
      <c r="D6" s="8" t="s">
        <v>64</v>
      </c>
      <c r="F6" s="8"/>
      <c r="G6" s="8" t="s">
        <v>79</v>
      </c>
      <c r="H6" s="8" t="s">
        <v>17</v>
      </c>
      <c r="I6" s="8" t="s">
        <v>19</v>
      </c>
      <c r="K6" s="8"/>
      <c r="L6" s="8" t="s">
        <v>26</v>
      </c>
      <c r="M6" s="8" t="s">
        <v>26</v>
      </c>
      <c r="N6" s="8"/>
      <c r="S6">
        <v>101</v>
      </c>
      <c r="T6" t="s">
        <v>86</v>
      </c>
      <c r="U6">
        <v>2</v>
      </c>
      <c r="Y6" t="str">
        <f t="shared" si="0"/>
        <v>('14',</v>
      </c>
      <c r="Z6" t="str">
        <f t="shared" si="1"/>
        <v>'45°C',</v>
      </c>
      <c r="AA6" t="str">
        <f t="shared" si="1"/>
        <v>'54°C',</v>
      </c>
      <c r="AB6" s="22" t="str">
        <f t="shared" si="2"/>
        <v>'0%',</v>
      </c>
      <c r="AC6" s="22" t="str">
        <f t="shared" si="2"/>
        <v>'20%',</v>
      </c>
      <c r="AD6" s="28" t="str">
        <f t="shared" si="3"/>
        <v>'614',</v>
      </c>
      <c r="AE6" s="28" t="str">
        <f t="shared" si="3"/>
        <v>'818',</v>
      </c>
      <c r="AF6" t="str">
        <f t="shared" si="4"/>
        <v>'4',</v>
      </c>
      <c r="AG6" t="str">
        <f t="shared" si="5"/>
        <v>'Unele specii de bacterii incep sa moara.'),</v>
      </c>
      <c r="AL6" s="25">
        <v>6.14</v>
      </c>
      <c r="AM6" s="25">
        <v>8.18</v>
      </c>
      <c r="AN6" s="23"/>
      <c r="AO6" s="23"/>
      <c r="AS6" t="s">
        <v>155</v>
      </c>
      <c r="AT6" t="s">
        <v>156</v>
      </c>
      <c r="AV6" t="s">
        <v>157</v>
      </c>
      <c r="AX6">
        <v>14</v>
      </c>
      <c r="AY6" t="s">
        <v>125</v>
      </c>
      <c r="AZ6" t="s">
        <v>126</v>
      </c>
      <c r="BA6" s="22">
        <v>0</v>
      </c>
      <c r="BB6" s="22">
        <v>0.2</v>
      </c>
      <c r="BD6">
        <v>4</v>
      </c>
      <c r="BE6" t="s">
        <v>127</v>
      </c>
    </row>
    <row r="7" spans="1:57" x14ac:dyDescent="0.35">
      <c r="A7" s="8" t="s">
        <v>57</v>
      </c>
      <c r="B7" s="8" t="s">
        <v>11</v>
      </c>
      <c r="C7" s="8" t="s">
        <v>15</v>
      </c>
      <c r="D7" s="8" t="s">
        <v>70</v>
      </c>
      <c r="F7" s="8"/>
      <c r="G7" s="8" t="s">
        <v>80</v>
      </c>
      <c r="H7" s="8" t="s">
        <v>84</v>
      </c>
      <c r="I7" s="8" t="s">
        <v>76</v>
      </c>
      <c r="K7" s="8"/>
      <c r="L7" s="8" t="s">
        <v>27</v>
      </c>
      <c r="M7" s="8" t="s">
        <v>27</v>
      </c>
      <c r="N7" s="8"/>
      <c r="S7">
        <v>102</v>
      </c>
      <c r="T7" t="s">
        <v>18</v>
      </c>
      <c r="U7">
        <v>2</v>
      </c>
      <c r="Y7" t="str">
        <f t="shared" si="0"/>
        <v>('15',</v>
      </c>
      <c r="Z7" t="str">
        <f t="shared" si="1"/>
        <v>'45°C',</v>
      </c>
      <c r="AA7" t="str">
        <f t="shared" si="1"/>
        <v>'54°C',</v>
      </c>
      <c r="AB7" s="22" t="str">
        <f t="shared" si="2"/>
        <v>'0%',</v>
      </c>
      <c r="AC7" s="22" t="str">
        <f t="shared" si="2"/>
        <v>'20%',</v>
      </c>
      <c r="AD7" s="28" t="str">
        <f t="shared" si="3"/>
        <v>'614',</v>
      </c>
      <c r="AE7" s="28" t="str">
        <f t="shared" si="3"/>
        <v>'818',</v>
      </c>
      <c r="AF7" t="str">
        <f t="shared" si="4"/>
        <v>'5',</v>
      </c>
      <c r="AG7" t="str">
        <f t="shared" si="5"/>
        <v>'Unele specii de bacterii incep sa moara.'),</v>
      </c>
      <c r="AL7" s="25">
        <v>6.14</v>
      </c>
      <c r="AM7" s="25">
        <v>8.18</v>
      </c>
      <c r="AN7" s="24"/>
      <c r="AO7" s="24"/>
      <c r="AX7">
        <v>15</v>
      </c>
      <c r="AY7" t="s">
        <v>125</v>
      </c>
      <c r="AZ7" t="s">
        <v>126</v>
      </c>
      <c r="BA7" s="22">
        <v>0</v>
      </c>
      <c r="BB7" s="22">
        <v>0.2</v>
      </c>
      <c r="BD7">
        <v>5</v>
      </c>
      <c r="BE7" t="s">
        <v>127</v>
      </c>
    </row>
    <row r="8" spans="1:57" x14ac:dyDescent="0.35">
      <c r="A8" s="8"/>
      <c r="B8" s="8" t="s">
        <v>12</v>
      </c>
      <c r="C8" s="8" t="s">
        <v>17</v>
      </c>
      <c r="D8" s="8" t="s">
        <v>67</v>
      </c>
      <c r="F8" s="8"/>
      <c r="G8" s="8" t="s">
        <v>81</v>
      </c>
      <c r="H8" s="8" t="s">
        <v>113</v>
      </c>
      <c r="I8" s="8" t="s">
        <v>77</v>
      </c>
      <c r="K8" s="8"/>
      <c r="L8" s="8" t="s">
        <v>28</v>
      </c>
      <c r="M8" s="8" t="s">
        <v>28</v>
      </c>
      <c r="N8" s="8"/>
      <c r="S8">
        <v>103</v>
      </c>
      <c r="T8" t="s">
        <v>87</v>
      </c>
      <c r="U8">
        <v>2</v>
      </c>
      <c r="Y8" t="str">
        <f t="shared" si="0"/>
        <v>('16',</v>
      </c>
      <c r="Z8" t="str">
        <f t="shared" si="1"/>
        <v>'38°C',</v>
      </c>
      <c r="AA8" t="str">
        <f t="shared" si="1"/>
        <v>'44.9°C',</v>
      </c>
      <c r="AB8" s="22" t="str">
        <f t="shared" si="2"/>
        <v>'21%',</v>
      </c>
      <c r="AC8" s="22" t="str">
        <f t="shared" si="2"/>
        <v>'40%',</v>
      </c>
      <c r="AD8" s="28" t="str">
        <f t="shared" si="3"/>
        <v>'614',</v>
      </c>
      <c r="AE8" s="28" t="str">
        <f t="shared" si="3"/>
        <v>'818',</v>
      </c>
      <c r="AF8" t="str">
        <f t="shared" si="4"/>
        <v>'6',</v>
      </c>
      <c r="AG8" t="str">
        <f t="shared" si="5"/>
        <v>'15% din umiditate este folosita pentru crestere, 85% se pierde prin evaporare si transpiratie.'),</v>
      </c>
      <c r="AL8" s="25">
        <v>6.14</v>
      </c>
      <c r="AM8" s="25">
        <v>8.18</v>
      </c>
      <c r="AN8" s="24"/>
      <c r="AO8" s="24"/>
      <c r="AX8">
        <v>16</v>
      </c>
      <c r="AY8" t="s">
        <v>128</v>
      </c>
      <c r="AZ8" t="s">
        <v>129</v>
      </c>
      <c r="BA8" s="22">
        <v>0.21</v>
      </c>
      <c r="BB8" s="22">
        <v>0.4</v>
      </c>
      <c r="BD8">
        <v>6</v>
      </c>
      <c r="BE8" t="s">
        <v>130</v>
      </c>
    </row>
    <row r="9" spans="1:57" x14ac:dyDescent="0.35">
      <c r="A9" s="8"/>
      <c r="B9" s="8" t="s">
        <v>13</v>
      </c>
      <c r="C9" s="8" t="s">
        <v>18</v>
      </c>
      <c r="D9" s="8" t="s">
        <v>51</v>
      </c>
      <c r="F9" s="8"/>
      <c r="G9" s="8" t="s">
        <v>15</v>
      </c>
      <c r="H9" s="8" t="s">
        <v>87</v>
      </c>
      <c r="I9" s="8" t="s">
        <v>22</v>
      </c>
      <c r="K9" s="8"/>
      <c r="L9" s="8" t="s">
        <v>29</v>
      </c>
      <c r="M9" s="8" t="s">
        <v>29</v>
      </c>
      <c r="N9" s="8"/>
      <c r="S9">
        <v>104</v>
      </c>
      <c r="T9" t="s">
        <v>88</v>
      </c>
      <c r="U9">
        <v>2</v>
      </c>
      <c r="Y9" t="str">
        <f t="shared" si="0"/>
        <v>('17',</v>
      </c>
      <c r="Z9" t="str">
        <f t="shared" si="1"/>
        <v>'38°C',</v>
      </c>
      <c r="AA9" t="str">
        <f t="shared" si="1"/>
        <v>'44.9°C',</v>
      </c>
      <c r="AB9" s="22" t="str">
        <f t="shared" si="2"/>
        <v>'21%',</v>
      </c>
      <c r="AC9" s="22" t="str">
        <f t="shared" si="2"/>
        <v>'40%',</v>
      </c>
      <c r="AD9" s="28" t="str">
        <f t="shared" si="3"/>
        <v>'614',</v>
      </c>
      <c r="AE9" s="28" t="str">
        <f t="shared" si="3"/>
        <v>'818',</v>
      </c>
      <c r="AF9" t="str">
        <f t="shared" si="4"/>
        <v>'7',</v>
      </c>
      <c r="AG9" t="str">
        <f t="shared" si="5"/>
        <v>'15% din umiditate este folosita pentru crestere, 85% se pierde prin evaporare si transpiratie.'),</v>
      </c>
      <c r="AL9" s="25">
        <v>6.14</v>
      </c>
      <c r="AM9" s="25">
        <v>8.18</v>
      </c>
      <c r="AN9" s="24"/>
      <c r="AO9" s="24"/>
      <c r="AX9">
        <v>17</v>
      </c>
      <c r="AY9" t="s">
        <v>128</v>
      </c>
      <c r="AZ9" t="s">
        <v>129</v>
      </c>
      <c r="BA9" s="22">
        <v>0.21</v>
      </c>
      <c r="BB9" s="22">
        <v>0.4</v>
      </c>
      <c r="BD9">
        <v>7</v>
      </c>
      <c r="BE9" t="s">
        <v>130</v>
      </c>
    </row>
    <row r="10" spans="1:57" x14ac:dyDescent="0.35">
      <c r="A10" s="8"/>
      <c r="B10" s="8" t="s">
        <v>14</v>
      </c>
      <c r="C10" s="8" t="s">
        <v>19</v>
      </c>
      <c r="D10" s="8"/>
      <c r="F10" s="8"/>
      <c r="G10" s="8" t="s">
        <v>16</v>
      </c>
      <c r="H10" s="8" t="s">
        <v>74</v>
      </c>
      <c r="I10" s="8"/>
      <c r="K10" s="8"/>
      <c r="L10" s="8" t="s">
        <v>30</v>
      </c>
      <c r="M10" s="8" t="s">
        <v>30</v>
      </c>
      <c r="N10" s="8"/>
      <c r="S10">
        <v>105</v>
      </c>
      <c r="T10" t="s">
        <v>19</v>
      </c>
      <c r="U10">
        <v>2</v>
      </c>
      <c r="Y10" t="str">
        <f t="shared" si="0"/>
        <v>('18',</v>
      </c>
      <c r="Z10" t="str">
        <f t="shared" si="1"/>
        <v>'38°C',</v>
      </c>
      <c r="AA10" t="str">
        <f t="shared" si="1"/>
        <v>'44.9°C',</v>
      </c>
      <c r="AB10" s="22" t="str">
        <f t="shared" si="2"/>
        <v>'21%',</v>
      </c>
      <c r="AC10" s="22" t="str">
        <f t="shared" si="2"/>
        <v>'40%',</v>
      </c>
      <c r="AD10" s="28" t="str">
        <f t="shared" si="3"/>
        <v>'614',</v>
      </c>
      <c r="AE10" s="28" t="str">
        <f t="shared" si="3"/>
        <v>'818',</v>
      </c>
      <c r="AF10" t="str">
        <f t="shared" si="4"/>
        <v>'8',</v>
      </c>
      <c r="AG10" t="str">
        <f t="shared" si="5"/>
        <v>'15% din umiditate este folosita pentru crestere, 85% se pierde prin evaporare si transpiratie.'),</v>
      </c>
      <c r="AL10" s="25">
        <v>6.14</v>
      </c>
      <c r="AM10" s="25">
        <v>8.18</v>
      </c>
      <c r="AN10" s="24"/>
      <c r="AO10" s="24"/>
      <c r="AX10">
        <v>18</v>
      </c>
      <c r="AY10" t="s">
        <v>128</v>
      </c>
      <c r="AZ10" t="s">
        <v>129</v>
      </c>
      <c r="BA10" s="22">
        <v>0.21</v>
      </c>
      <c r="BB10" s="22">
        <v>0.4</v>
      </c>
      <c r="BD10">
        <v>8</v>
      </c>
      <c r="BE10" t="s">
        <v>130</v>
      </c>
    </row>
    <row r="11" spans="1:57" x14ac:dyDescent="0.35">
      <c r="A11" s="8"/>
      <c r="B11" s="8" t="s">
        <v>15</v>
      </c>
      <c r="C11" s="8" t="s">
        <v>20</v>
      </c>
      <c r="D11" s="8"/>
      <c r="F11" s="8"/>
      <c r="G11" s="8" t="s">
        <v>82</v>
      </c>
      <c r="H11" s="8" t="s">
        <v>75</v>
      </c>
      <c r="I11" s="8"/>
      <c r="K11" s="8"/>
      <c r="L11" s="8"/>
      <c r="M11" s="8" t="s">
        <v>71</v>
      </c>
      <c r="N11" s="8"/>
      <c r="S11">
        <v>106</v>
      </c>
      <c r="T11" t="s">
        <v>20</v>
      </c>
      <c r="U11">
        <v>2</v>
      </c>
      <c r="Y11" t="str">
        <f t="shared" si="0"/>
        <v>('19',</v>
      </c>
      <c r="Z11" t="str">
        <f t="shared" si="1"/>
        <v>'38°C',</v>
      </c>
      <c r="AA11" t="str">
        <f t="shared" si="1"/>
        <v>'44.9°C',</v>
      </c>
      <c r="AB11" s="22" t="str">
        <f t="shared" si="2"/>
        <v>'21%',</v>
      </c>
      <c r="AC11" s="22" t="str">
        <f t="shared" si="2"/>
        <v>'40%',</v>
      </c>
      <c r="AD11" s="28" t="str">
        <f t="shared" si="3"/>
        <v>'614',</v>
      </c>
      <c r="AE11" s="28" t="str">
        <f t="shared" si="3"/>
        <v>'818',</v>
      </c>
      <c r="AF11" t="str">
        <f t="shared" si="4"/>
        <v>'9',</v>
      </c>
      <c r="AG11" t="str">
        <f t="shared" si="5"/>
        <v>'15% din umiditate este folosita pentru crestere, 85% se pierde prin evaporare si transpiratie.'),</v>
      </c>
      <c r="AL11" s="25">
        <v>6.14</v>
      </c>
      <c r="AM11" s="25">
        <v>8.18</v>
      </c>
      <c r="AX11">
        <v>19</v>
      </c>
      <c r="AY11" t="s">
        <v>128</v>
      </c>
      <c r="AZ11" t="s">
        <v>129</v>
      </c>
      <c r="BA11" s="22">
        <v>0.21</v>
      </c>
      <c r="BB11" s="22">
        <v>0.4</v>
      </c>
      <c r="BD11">
        <v>9</v>
      </c>
      <c r="BE11" t="s">
        <v>130</v>
      </c>
    </row>
    <row r="12" spans="1:57" x14ac:dyDescent="0.35">
      <c r="A12" s="8"/>
      <c r="B12" s="8" t="s">
        <v>16</v>
      </c>
      <c r="C12" s="8" t="s">
        <v>21</v>
      </c>
      <c r="D12" s="8"/>
      <c r="F12" s="8"/>
      <c r="G12" s="8" t="s">
        <v>83</v>
      </c>
      <c r="H12" s="8" t="s">
        <v>19</v>
      </c>
      <c r="I12" s="8"/>
      <c r="S12">
        <v>107</v>
      </c>
      <c r="T12" t="s">
        <v>89</v>
      </c>
      <c r="U12">
        <v>2</v>
      </c>
      <c r="Y12" t="str">
        <f t="shared" si="0"/>
        <v>('110',</v>
      </c>
      <c r="Z12" t="str">
        <f t="shared" si="1"/>
        <v>'38°C',</v>
      </c>
      <c r="AA12" t="str">
        <f t="shared" si="1"/>
        <v>'44.9°C',</v>
      </c>
      <c r="AB12" s="22" t="str">
        <f t="shared" si="2"/>
        <v>'21%',</v>
      </c>
      <c r="AC12" s="22" t="str">
        <f t="shared" si="2"/>
        <v>'40%',</v>
      </c>
      <c r="AD12" s="28" t="str">
        <f t="shared" si="3"/>
        <v>'614',</v>
      </c>
      <c r="AE12" s="28" t="str">
        <f t="shared" si="3"/>
        <v>'818',</v>
      </c>
      <c r="AF12" t="str">
        <f t="shared" si="4"/>
        <v>'10',</v>
      </c>
      <c r="AG12" t="str">
        <f t="shared" si="5"/>
        <v>'15% din umiditate este folosita pentru crestere, 85% se pierde prin evaporare si transpiratie.'),</v>
      </c>
      <c r="AL12" s="25">
        <v>6.14</v>
      </c>
      <c r="AM12" s="25">
        <v>8.18</v>
      </c>
      <c r="AX12">
        <v>110</v>
      </c>
      <c r="AY12" t="s">
        <v>128</v>
      </c>
      <c r="AZ12" t="s">
        <v>129</v>
      </c>
      <c r="BA12" s="22">
        <v>0.21</v>
      </c>
      <c r="BB12" s="22">
        <v>0.4</v>
      </c>
      <c r="BD12">
        <v>10</v>
      </c>
      <c r="BE12" t="s">
        <v>130</v>
      </c>
    </row>
    <row r="13" spans="1:57" x14ac:dyDescent="0.35">
      <c r="A13" s="8"/>
      <c r="B13" s="8" t="s">
        <v>18</v>
      </c>
      <c r="C13" s="8" t="s">
        <v>22</v>
      </c>
      <c r="D13" s="8"/>
      <c r="F13" s="8"/>
      <c r="G13" s="8" t="s">
        <v>84</v>
      </c>
      <c r="H13" s="8" t="s">
        <v>20</v>
      </c>
      <c r="I13" s="8"/>
      <c r="S13">
        <v>108</v>
      </c>
      <c r="T13" t="s">
        <v>90</v>
      </c>
      <c r="U13">
        <v>2</v>
      </c>
      <c r="Y13" t="str">
        <f t="shared" si="0"/>
        <v>('111',</v>
      </c>
      <c r="Z13" t="str">
        <f t="shared" si="1"/>
        <v>'38°C',</v>
      </c>
      <c r="AA13" t="str">
        <f t="shared" si="1"/>
        <v>'44.9°C',</v>
      </c>
      <c r="AB13" s="22" t="str">
        <f t="shared" si="2"/>
        <v>'21%',</v>
      </c>
      <c r="AC13" s="22" t="str">
        <f t="shared" si="2"/>
        <v>'40%',</v>
      </c>
      <c r="AD13" s="28" t="str">
        <f t="shared" si="3"/>
        <v>'614',</v>
      </c>
      <c r="AE13" s="28" t="str">
        <f t="shared" si="3"/>
        <v>'818',</v>
      </c>
      <c r="AF13" t="str">
        <f t="shared" si="4"/>
        <v>'11',</v>
      </c>
      <c r="AG13" t="str">
        <f t="shared" si="5"/>
        <v>'15% din umiditate este folosita pentru crestere, 85% se pierde prin evaporare si transpiratie.'),</v>
      </c>
      <c r="AL13" s="25">
        <v>6.14</v>
      </c>
      <c r="AM13" s="25">
        <v>8.18</v>
      </c>
      <c r="AX13">
        <v>111</v>
      </c>
      <c r="AY13" t="s">
        <v>128</v>
      </c>
      <c r="AZ13" t="s">
        <v>129</v>
      </c>
      <c r="BA13" s="22">
        <v>0.21</v>
      </c>
      <c r="BB13" s="22">
        <v>0.4</v>
      </c>
      <c r="BD13">
        <v>11</v>
      </c>
      <c r="BE13" t="s">
        <v>130</v>
      </c>
    </row>
    <row r="14" spans="1:57" x14ac:dyDescent="0.35">
      <c r="A14" s="8"/>
      <c r="B14" s="8" t="s">
        <v>19</v>
      </c>
      <c r="C14" s="8" t="s">
        <v>59</v>
      </c>
      <c r="D14" s="8"/>
      <c r="F14" s="8"/>
      <c r="G14" s="8" t="s">
        <v>85</v>
      </c>
      <c r="H14" s="8" t="s">
        <v>21</v>
      </c>
      <c r="I14" s="8"/>
      <c r="S14">
        <v>109</v>
      </c>
      <c r="T14" t="s">
        <v>91</v>
      </c>
      <c r="U14">
        <v>2</v>
      </c>
      <c r="Y14" t="str">
        <f t="shared" si="0"/>
        <v>('112',</v>
      </c>
      <c r="Z14" t="str">
        <f t="shared" si="1"/>
        <v>'38°C',</v>
      </c>
      <c r="AA14" t="str">
        <f t="shared" si="1"/>
        <v>'44.9°C',</v>
      </c>
      <c r="AB14" s="22" t="str">
        <f t="shared" si="2"/>
        <v>'21%',</v>
      </c>
      <c r="AC14" s="22" t="str">
        <f t="shared" si="2"/>
        <v>'40%',</v>
      </c>
      <c r="AD14" s="28" t="str">
        <f t="shared" si="3"/>
        <v>'614',</v>
      </c>
      <c r="AE14" s="28" t="str">
        <f t="shared" si="3"/>
        <v>'818',</v>
      </c>
      <c r="AF14" t="str">
        <f t="shared" si="4"/>
        <v>'12',</v>
      </c>
      <c r="AG14" t="str">
        <f t="shared" si="5"/>
        <v>'15% din umiditate este folosita pentru crestere, 85% se pierde prin evaporare si transpiratie.'),</v>
      </c>
      <c r="AL14" s="25">
        <v>6.14</v>
      </c>
      <c r="AM14" s="25">
        <v>8.18</v>
      </c>
      <c r="AX14">
        <v>112</v>
      </c>
      <c r="AY14" t="s">
        <v>128</v>
      </c>
      <c r="AZ14" t="s">
        <v>129</v>
      </c>
      <c r="BA14" s="22">
        <v>0.21</v>
      </c>
      <c r="BB14" s="22">
        <v>0.4</v>
      </c>
      <c r="BD14">
        <v>12</v>
      </c>
      <c r="BE14" t="s">
        <v>130</v>
      </c>
    </row>
    <row r="15" spans="1:57" x14ac:dyDescent="0.35">
      <c r="A15" s="8"/>
      <c r="B15" s="8" t="s">
        <v>20</v>
      </c>
      <c r="C15" s="8" t="s">
        <v>34</v>
      </c>
      <c r="D15" s="8"/>
      <c r="F15" s="8"/>
      <c r="G15" s="8" t="s">
        <v>86</v>
      </c>
      <c r="H15" s="8" t="s">
        <v>114</v>
      </c>
      <c r="I15" s="8"/>
      <c r="S15">
        <v>11</v>
      </c>
      <c r="T15" t="s">
        <v>12</v>
      </c>
      <c r="U15">
        <v>1</v>
      </c>
      <c r="Y15" t="str">
        <f t="shared" si="0"/>
        <v>('113',</v>
      </c>
      <c r="Z15" t="str">
        <f t="shared" si="1"/>
        <v>'38°C',</v>
      </c>
      <c r="AA15" t="str">
        <f t="shared" si="1"/>
        <v>'44.9°C',</v>
      </c>
      <c r="AB15" s="22" t="str">
        <f t="shared" si="2"/>
        <v>'21%',</v>
      </c>
      <c r="AC15" s="22" t="str">
        <f t="shared" si="2"/>
        <v>'40%',</v>
      </c>
      <c r="AD15" s="28" t="str">
        <f t="shared" si="3"/>
        <v>'614',</v>
      </c>
      <c r="AE15" s="28" t="str">
        <f t="shared" si="3"/>
        <v>'818',</v>
      </c>
      <c r="AF15" t="str">
        <f t="shared" si="4"/>
        <v>'13',</v>
      </c>
      <c r="AG15" t="str">
        <f t="shared" si="5"/>
        <v>'15% din umiditate este folosita pentru crestere, 85% se pierde prin evaporare si transpiratie.'),</v>
      </c>
      <c r="AL15" s="25">
        <v>6.14</v>
      </c>
      <c r="AM15" s="25">
        <v>8.18</v>
      </c>
      <c r="AX15">
        <v>113</v>
      </c>
      <c r="AY15" t="s">
        <v>128</v>
      </c>
      <c r="AZ15" t="s">
        <v>129</v>
      </c>
      <c r="BA15" s="22">
        <v>0.21</v>
      </c>
      <c r="BB15" s="22">
        <v>0.4</v>
      </c>
      <c r="BD15">
        <v>13</v>
      </c>
      <c r="BE15" t="s">
        <v>130</v>
      </c>
    </row>
    <row r="16" spans="1:57" x14ac:dyDescent="0.35">
      <c r="A16" s="8"/>
      <c r="B16" s="8" t="s">
        <v>7</v>
      </c>
      <c r="C16" s="8" t="s">
        <v>60</v>
      </c>
      <c r="D16" s="8"/>
      <c r="F16" s="8"/>
      <c r="G16" s="8" t="s">
        <v>18</v>
      </c>
      <c r="H16" s="8" t="s">
        <v>115</v>
      </c>
      <c r="I16" s="8"/>
      <c r="S16">
        <v>110</v>
      </c>
      <c r="T16" t="s">
        <v>92</v>
      </c>
      <c r="U16">
        <v>2</v>
      </c>
      <c r="Y16" t="str">
        <f t="shared" si="0"/>
        <v>('114',</v>
      </c>
      <c r="Z16" t="str">
        <f t="shared" si="1"/>
        <v>'38°C',</v>
      </c>
      <c r="AA16" t="str">
        <f t="shared" si="1"/>
        <v>'44.9°C',</v>
      </c>
      <c r="AB16" s="22" t="str">
        <f t="shared" si="2"/>
        <v>'21%',</v>
      </c>
      <c r="AC16" s="22" t="str">
        <f t="shared" si="2"/>
        <v>'40%',</v>
      </c>
      <c r="AD16" s="28" t="str">
        <f t="shared" si="3"/>
        <v>'614',</v>
      </c>
      <c r="AE16" s="28" t="str">
        <f t="shared" si="3"/>
        <v>'818',</v>
      </c>
      <c r="AF16" t="str">
        <f t="shared" si="4"/>
        <v>'14',</v>
      </c>
      <c r="AG16" t="str">
        <f t="shared" si="5"/>
        <v>'15% din umiditate este folosita pentru crestere, 85% se pierde prin evaporare si transpiratie.'),</v>
      </c>
      <c r="AL16" s="25">
        <v>6.14</v>
      </c>
      <c r="AM16" s="25">
        <v>8.18</v>
      </c>
      <c r="AX16">
        <v>114</v>
      </c>
      <c r="AY16" t="s">
        <v>128</v>
      </c>
      <c r="AZ16" t="s">
        <v>129</v>
      </c>
      <c r="BA16" s="22">
        <v>0.21</v>
      </c>
      <c r="BB16" s="22">
        <v>0.4</v>
      </c>
      <c r="BD16">
        <v>14</v>
      </c>
      <c r="BE16" t="s">
        <v>130</v>
      </c>
    </row>
    <row r="17" spans="1:57" x14ac:dyDescent="0.35">
      <c r="A17" s="8"/>
      <c r="B17" s="8" t="s">
        <v>4</v>
      </c>
      <c r="C17" s="8" t="s">
        <v>37</v>
      </c>
      <c r="D17" s="8"/>
      <c r="F17" s="8"/>
      <c r="G17" s="8" t="s">
        <v>87</v>
      </c>
      <c r="H17" s="8" t="s">
        <v>116</v>
      </c>
      <c r="I17" s="8"/>
      <c r="S17">
        <v>111</v>
      </c>
      <c r="T17" t="s">
        <v>93</v>
      </c>
      <c r="U17">
        <v>2</v>
      </c>
      <c r="Y17" t="str">
        <f t="shared" si="0"/>
        <v>('115',</v>
      </c>
      <c r="Z17" t="str">
        <f t="shared" si="1"/>
        <v>'38°C',</v>
      </c>
      <c r="AA17" t="str">
        <f t="shared" si="1"/>
        <v>'44.9°C',</v>
      </c>
      <c r="AB17" s="22" t="str">
        <f t="shared" si="2"/>
        <v>'21%',</v>
      </c>
      <c r="AC17" s="22" t="str">
        <f t="shared" si="2"/>
        <v>'40%',</v>
      </c>
      <c r="AD17" s="28" t="str">
        <f t="shared" si="3"/>
        <v>'614',</v>
      </c>
      <c r="AE17" s="28" t="str">
        <f t="shared" si="3"/>
        <v>'818',</v>
      </c>
      <c r="AF17" t="str">
        <f t="shared" si="4"/>
        <v>'15',</v>
      </c>
      <c r="AG17" t="str">
        <f t="shared" si="5"/>
        <v>'15% din umiditate este folosita pentru crestere, 85% se pierde prin evaporare si transpiratie.'),</v>
      </c>
      <c r="AL17" s="25">
        <v>6.14</v>
      </c>
      <c r="AM17" s="25">
        <v>8.18</v>
      </c>
      <c r="AX17">
        <v>115</v>
      </c>
      <c r="AY17" t="s">
        <v>128</v>
      </c>
      <c r="AZ17" t="s">
        <v>129</v>
      </c>
      <c r="BA17" s="22">
        <v>0.21</v>
      </c>
      <c r="BB17" s="22">
        <v>0.4</v>
      </c>
      <c r="BD17">
        <v>15</v>
      </c>
      <c r="BE17" t="s">
        <v>130</v>
      </c>
    </row>
    <row r="18" spans="1:57" x14ac:dyDescent="0.35">
      <c r="A18" s="8"/>
      <c r="B18" s="8" t="s">
        <v>32</v>
      </c>
      <c r="C18" s="8" t="s">
        <v>39</v>
      </c>
      <c r="D18" s="8"/>
      <c r="F18" s="8"/>
      <c r="G18" s="8" t="s">
        <v>88</v>
      </c>
      <c r="H18" s="8" t="s">
        <v>105</v>
      </c>
      <c r="I18" s="8"/>
      <c r="S18">
        <v>112</v>
      </c>
      <c r="T18" t="s">
        <v>94</v>
      </c>
      <c r="U18">
        <v>2</v>
      </c>
      <c r="Y18" t="str">
        <f t="shared" si="0"/>
        <v>('116',</v>
      </c>
      <c r="Z18" t="str">
        <f t="shared" si="1"/>
        <v>'38°C',</v>
      </c>
      <c r="AA18" t="str">
        <f t="shared" si="1"/>
        <v>'44.9°C',</v>
      </c>
      <c r="AB18" s="22" t="str">
        <f t="shared" si="2"/>
        <v>'21%',</v>
      </c>
      <c r="AC18" s="22" t="str">
        <f t="shared" si="2"/>
        <v>'40%',</v>
      </c>
      <c r="AD18" s="28" t="str">
        <f t="shared" si="3"/>
        <v>'614',</v>
      </c>
      <c r="AE18" s="28" t="str">
        <f t="shared" si="3"/>
        <v>'818',</v>
      </c>
      <c r="AF18" t="str">
        <f t="shared" si="4"/>
        <v>'16',</v>
      </c>
      <c r="AG18" t="str">
        <f t="shared" si="5"/>
        <v>'15% din umiditate este folosita pentru crestere, 85% se pierde prin evaporare si transpiratie.'),</v>
      </c>
      <c r="AL18" s="25">
        <v>6.14</v>
      </c>
      <c r="AM18" s="25">
        <v>8.18</v>
      </c>
      <c r="AX18">
        <v>116</v>
      </c>
      <c r="AY18" t="s">
        <v>128</v>
      </c>
      <c r="AZ18" t="s">
        <v>129</v>
      </c>
      <c r="BA18" s="22">
        <v>0.21</v>
      </c>
      <c r="BB18" s="22">
        <v>0.4</v>
      </c>
      <c r="BD18">
        <v>16</v>
      </c>
      <c r="BE18" t="s">
        <v>130</v>
      </c>
    </row>
    <row r="19" spans="1:57" x14ac:dyDescent="0.35">
      <c r="A19" s="8"/>
      <c r="B19" s="8" t="s">
        <v>6</v>
      </c>
      <c r="C19" s="8" t="s">
        <v>61</v>
      </c>
      <c r="D19" s="8"/>
      <c r="F19" s="8"/>
      <c r="G19" s="8" t="s">
        <v>19</v>
      </c>
      <c r="H19" s="8" t="s">
        <v>106</v>
      </c>
      <c r="I19" s="8"/>
      <c r="S19">
        <v>113</v>
      </c>
      <c r="T19" t="s">
        <v>95</v>
      </c>
      <c r="U19">
        <v>2</v>
      </c>
      <c r="Y19" t="str">
        <f t="shared" si="0"/>
        <v>('117',</v>
      </c>
      <c r="Z19" t="str">
        <f t="shared" si="1"/>
        <v>'38°C',</v>
      </c>
      <c r="AA19" t="str">
        <f t="shared" si="1"/>
        <v>'44.9°C',</v>
      </c>
      <c r="AB19" s="22" t="str">
        <f t="shared" si="2"/>
        <v>'21%',</v>
      </c>
      <c r="AC19" s="22" t="str">
        <f t="shared" si="2"/>
        <v>'40%',</v>
      </c>
      <c r="AD19" s="28" t="str">
        <f t="shared" si="3"/>
        <v>'614',</v>
      </c>
      <c r="AE19" s="28" t="str">
        <f t="shared" si="3"/>
        <v>'818',</v>
      </c>
      <c r="AF19" t="str">
        <f t="shared" si="4"/>
        <v>'17',</v>
      </c>
      <c r="AG19" t="str">
        <f t="shared" si="5"/>
        <v>'15% din umiditate este folosita pentru crestere, 85% se pierde prin evaporare si transpiratie.'),</v>
      </c>
      <c r="AL19" s="25">
        <v>6.14</v>
      </c>
      <c r="AM19" s="25">
        <v>8.18</v>
      </c>
      <c r="AX19">
        <v>117</v>
      </c>
      <c r="AY19" t="s">
        <v>128</v>
      </c>
      <c r="AZ19" t="s">
        <v>129</v>
      </c>
      <c r="BA19" s="22">
        <v>0.21</v>
      </c>
      <c r="BB19" s="22">
        <v>0.4</v>
      </c>
      <c r="BD19">
        <v>17</v>
      </c>
      <c r="BE19" t="s">
        <v>130</v>
      </c>
    </row>
    <row r="20" spans="1:57" x14ac:dyDescent="0.35">
      <c r="A20" s="8"/>
      <c r="B20" s="8" t="s">
        <v>8</v>
      </c>
      <c r="C20" s="8" t="s">
        <v>62</v>
      </c>
      <c r="D20" s="8"/>
      <c r="F20" s="8"/>
      <c r="G20" s="8" t="s">
        <v>20</v>
      </c>
      <c r="H20" s="8" t="s">
        <v>110</v>
      </c>
      <c r="I20" s="8"/>
      <c r="S20">
        <v>114</v>
      </c>
      <c r="T20" t="s">
        <v>96</v>
      </c>
      <c r="U20">
        <v>2</v>
      </c>
      <c r="Y20" t="str">
        <f t="shared" si="0"/>
        <v>('118',</v>
      </c>
      <c r="Z20" t="str">
        <f t="shared" si="1"/>
        <v>'38°C',</v>
      </c>
      <c r="AA20" t="str">
        <f t="shared" si="1"/>
        <v>'44.9°C',</v>
      </c>
      <c r="AB20" s="22" t="str">
        <f t="shared" si="2"/>
        <v>'21%',</v>
      </c>
      <c r="AC20" s="22" t="str">
        <f t="shared" si="2"/>
        <v>'40%',</v>
      </c>
      <c r="AD20" s="28" t="str">
        <f t="shared" si="3"/>
        <v>'614',</v>
      </c>
      <c r="AE20" s="28" t="str">
        <f t="shared" si="3"/>
        <v>'818',</v>
      </c>
      <c r="AF20" t="str">
        <f t="shared" si="4"/>
        <v>'18',</v>
      </c>
      <c r="AG20" t="str">
        <f t="shared" si="5"/>
        <v>'15% din umiditate este folosita pentru crestere, 85% se pierde prin evaporare si transpiratie.'),</v>
      </c>
      <c r="AL20" s="25">
        <v>6.14</v>
      </c>
      <c r="AM20" s="25">
        <v>8.18</v>
      </c>
      <c r="AX20">
        <v>118</v>
      </c>
      <c r="AY20" t="s">
        <v>128</v>
      </c>
      <c r="AZ20" t="s">
        <v>129</v>
      </c>
      <c r="BA20" s="22">
        <v>0.21</v>
      </c>
      <c r="BB20" s="22">
        <v>0.4</v>
      </c>
      <c r="BD20">
        <v>18</v>
      </c>
      <c r="BE20" t="s">
        <v>130</v>
      </c>
    </row>
    <row r="21" spans="1:57" x14ac:dyDescent="0.35">
      <c r="A21" s="8"/>
      <c r="B21" s="8" t="s">
        <v>9</v>
      </c>
      <c r="C21" s="8" t="s">
        <v>63</v>
      </c>
      <c r="D21" s="8"/>
      <c r="F21" s="8"/>
      <c r="G21" s="8" t="s">
        <v>89</v>
      </c>
      <c r="H21" s="8" t="s">
        <v>77</v>
      </c>
      <c r="I21" s="8"/>
      <c r="S21">
        <v>115</v>
      </c>
      <c r="T21" t="s">
        <v>97</v>
      </c>
      <c r="U21">
        <v>2</v>
      </c>
      <c r="Y21" t="str">
        <f t="shared" si="0"/>
        <v>('119',</v>
      </c>
      <c r="Z21" t="str">
        <f t="shared" si="1"/>
        <v>'38°C',</v>
      </c>
      <c r="AA21" t="str">
        <f t="shared" si="1"/>
        <v>'44.9°C',</v>
      </c>
      <c r="AB21" s="22" t="str">
        <f t="shared" si="2"/>
        <v>'21%',</v>
      </c>
      <c r="AC21" s="22" t="str">
        <f t="shared" si="2"/>
        <v>'40%',</v>
      </c>
      <c r="AD21" s="28" t="str">
        <f t="shared" si="3"/>
        <v>'614',</v>
      </c>
      <c r="AE21" s="28" t="str">
        <f t="shared" si="3"/>
        <v>'818',</v>
      </c>
      <c r="AF21" t="str">
        <f t="shared" si="4"/>
        <v>'19',</v>
      </c>
      <c r="AG21" t="str">
        <f t="shared" si="5"/>
        <v>'15% din umiditate este folosita pentru crestere, 85% se pierde prin evaporare si transpiratie.'),</v>
      </c>
      <c r="AL21" s="25">
        <v>6.14</v>
      </c>
      <c r="AM21" s="25">
        <v>8.18</v>
      </c>
      <c r="AX21">
        <v>119</v>
      </c>
      <c r="AY21" t="s">
        <v>128</v>
      </c>
      <c r="AZ21" t="s">
        <v>129</v>
      </c>
      <c r="BA21" s="22">
        <v>0.21</v>
      </c>
      <c r="BB21" s="22">
        <v>0.4</v>
      </c>
      <c r="BD21">
        <v>19</v>
      </c>
      <c r="BE21" t="s">
        <v>130</v>
      </c>
    </row>
    <row r="22" spans="1:57" x14ac:dyDescent="0.35">
      <c r="A22" s="8"/>
      <c r="B22" s="8" t="s">
        <v>33</v>
      </c>
      <c r="C22" s="8" t="s">
        <v>42</v>
      </c>
      <c r="D22" s="8"/>
      <c r="F22" s="8"/>
      <c r="G22" s="8" t="s">
        <v>90</v>
      </c>
      <c r="H22" s="8" t="s">
        <v>117</v>
      </c>
      <c r="I22" s="8"/>
      <c r="S22">
        <v>116</v>
      </c>
      <c r="T22" t="s">
        <v>98</v>
      </c>
      <c r="U22">
        <v>2</v>
      </c>
      <c r="Y22" t="str">
        <f t="shared" si="0"/>
        <v>('120',</v>
      </c>
      <c r="Z22" t="str">
        <f t="shared" si="1"/>
        <v>'38°C',</v>
      </c>
      <c r="AA22" t="str">
        <f t="shared" si="1"/>
        <v>'44.9°C',</v>
      </c>
      <c r="AB22" s="22" t="str">
        <f t="shared" si="2"/>
        <v>'21%',</v>
      </c>
      <c r="AC22" s="22" t="str">
        <f t="shared" si="2"/>
        <v>'40%',</v>
      </c>
      <c r="AD22" s="28" t="str">
        <f t="shared" si="3"/>
        <v>'614',</v>
      </c>
      <c r="AE22" s="28" t="str">
        <f t="shared" si="3"/>
        <v>'818',</v>
      </c>
      <c r="AF22" t="str">
        <f t="shared" si="4"/>
        <v>'20',</v>
      </c>
      <c r="AG22" t="str">
        <f t="shared" si="5"/>
        <v>'15% din umiditate este folosita pentru crestere, 85% se pierde prin evaporare si transpiratie.'),</v>
      </c>
      <c r="AL22" s="25">
        <v>6.14</v>
      </c>
      <c r="AM22" s="25">
        <v>8.18</v>
      </c>
      <c r="AX22">
        <v>120</v>
      </c>
      <c r="AY22" t="s">
        <v>128</v>
      </c>
      <c r="AZ22" t="s">
        <v>129</v>
      </c>
      <c r="BA22" s="22">
        <v>0.21</v>
      </c>
      <c r="BB22" s="22">
        <v>0.4</v>
      </c>
      <c r="BD22">
        <v>20</v>
      </c>
      <c r="BE22" t="s">
        <v>130</v>
      </c>
    </row>
    <row r="23" spans="1:57" x14ac:dyDescent="0.35">
      <c r="A23" s="8"/>
      <c r="B23" s="8" t="s">
        <v>34</v>
      </c>
      <c r="C23" s="8" t="s">
        <v>64</v>
      </c>
      <c r="D23" s="8"/>
      <c r="F23" s="8"/>
      <c r="G23" s="8" t="s">
        <v>91</v>
      </c>
      <c r="H23" s="8" t="s">
        <v>22</v>
      </c>
      <c r="I23" s="8"/>
      <c r="S23">
        <v>117</v>
      </c>
      <c r="T23" t="s">
        <v>99</v>
      </c>
      <c r="U23">
        <v>2</v>
      </c>
      <c r="Y23" t="str">
        <f t="shared" si="0"/>
        <v>('121',</v>
      </c>
      <c r="Z23" t="str">
        <f t="shared" si="1"/>
        <v>'38°C',</v>
      </c>
      <c r="AA23" t="str">
        <f t="shared" si="1"/>
        <v>'44.9°C',</v>
      </c>
      <c r="AB23" s="22" t="str">
        <f t="shared" si="2"/>
        <v>'21%',</v>
      </c>
      <c r="AC23" s="22" t="str">
        <f t="shared" si="2"/>
        <v>'40%',</v>
      </c>
      <c r="AD23" s="28" t="str">
        <f t="shared" si="3"/>
        <v>'614',</v>
      </c>
      <c r="AE23" s="28" t="str">
        <f t="shared" si="3"/>
        <v>'818',</v>
      </c>
      <c r="AF23" t="str">
        <f t="shared" si="4"/>
        <v>'21',</v>
      </c>
      <c r="AG23" t="str">
        <f t="shared" si="5"/>
        <v>'15% din umiditate este folosita pentru crestere, 85% se pierde prin evaporare si transpiratie.'),</v>
      </c>
      <c r="AL23" s="25">
        <v>6.14</v>
      </c>
      <c r="AM23" s="25">
        <v>8.18</v>
      </c>
      <c r="AX23">
        <v>121</v>
      </c>
      <c r="AY23" t="s">
        <v>128</v>
      </c>
      <c r="AZ23" t="s">
        <v>129</v>
      </c>
      <c r="BA23" s="22">
        <v>0.21</v>
      </c>
      <c r="BB23" s="22">
        <v>0.4</v>
      </c>
      <c r="BD23">
        <v>21</v>
      </c>
      <c r="BE23" t="s">
        <v>130</v>
      </c>
    </row>
    <row r="24" spans="1:57" x14ac:dyDescent="0.35">
      <c r="A24" s="8"/>
      <c r="B24" s="8" t="s">
        <v>35</v>
      </c>
      <c r="C24" s="8" t="s">
        <v>65</v>
      </c>
      <c r="D24" s="8"/>
      <c r="F24" s="8"/>
      <c r="G24" s="8" t="s">
        <v>92</v>
      </c>
      <c r="H24" s="8"/>
      <c r="I24" s="8"/>
      <c r="S24">
        <v>118</v>
      </c>
      <c r="T24" t="s">
        <v>100</v>
      </c>
      <c r="U24">
        <v>2</v>
      </c>
      <c r="Y24" t="str">
        <f t="shared" si="0"/>
        <v>('122',</v>
      </c>
      <c r="Z24" t="str">
        <f t="shared" si="1"/>
        <v>'38°C',</v>
      </c>
      <c r="AA24" t="str">
        <f t="shared" si="1"/>
        <v>'44.9°C',</v>
      </c>
      <c r="AB24" s="22" t="str">
        <f t="shared" si="2"/>
        <v>'21%',</v>
      </c>
      <c r="AC24" s="22" t="str">
        <f t="shared" si="2"/>
        <v>'40%',</v>
      </c>
      <c r="AD24" s="28" t="str">
        <f t="shared" si="3"/>
        <v>'614',</v>
      </c>
      <c r="AE24" s="28" t="str">
        <f t="shared" si="3"/>
        <v>'818',</v>
      </c>
      <c r="AF24" t="str">
        <f t="shared" si="4"/>
        <v>'22',</v>
      </c>
      <c r="AG24" t="str">
        <f t="shared" si="5"/>
        <v>'15% din umiditate este folosita pentru crestere, 85% se pierde prin evaporare si transpiratie.'),</v>
      </c>
      <c r="AL24" s="25">
        <v>6.14</v>
      </c>
      <c r="AM24" s="25">
        <v>8.18</v>
      </c>
      <c r="AX24">
        <v>122</v>
      </c>
      <c r="AY24" t="s">
        <v>128</v>
      </c>
      <c r="AZ24" t="s">
        <v>129</v>
      </c>
      <c r="BA24" s="22">
        <v>0.21</v>
      </c>
      <c r="BB24" s="22">
        <v>0.4</v>
      </c>
      <c r="BD24">
        <v>22</v>
      </c>
      <c r="BE24" t="s">
        <v>130</v>
      </c>
    </row>
    <row r="25" spans="1:57" x14ac:dyDescent="0.35">
      <c r="A25" s="8"/>
      <c r="B25" s="8" t="s">
        <v>36</v>
      </c>
      <c r="C25" s="8" t="s">
        <v>66</v>
      </c>
      <c r="D25" s="8"/>
      <c r="F25" s="8"/>
      <c r="G25" s="8" t="s">
        <v>93</v>
      </c>
      <c r="H25" s="8"/>
      <c r="I25" s="8"/>
      <c r="S25">
        <v>119</v>
      </c>
      <c r="T25" t="s">
        <v>101</v>
      </c>
      <c r="U25">
        <v>2</v>
      </c>
      <c r="Y25" t="str">
        <f t="shared" si="0"/>
        <v>('123',</v>
      </c>
      <c r="Z25" t="str">
        <f t="shared" si="1"/>
        <v>'38°C',</v>
      </c>
      <c r="AA25" t="str">
        <f t="shared" si="1"/>
        <v>'44.9°C',</v>
      </c>
      <c r="AB25" s="22" t="str">
        <f t="shared" si="2"/>
        <v>'21%',</v>
      </c>
      <c r="AC25" s="22" t="str">
        <f t="shared" si="2"/>
        <v>'40%',</v>
      </c>
      <c r="AD25" s="28" t="str">
        <f t="shared" si="3"/>
        <v>'614',</v>
      </c>
      <c r="AE25" s="28" t="str">
        <f t="shared" si="3"/>
        <v>'818',</v>
      </c>
      <c r="AF25" t="str">
        <f t="shared" si="4"/>
        <v>'23',</v>
      </c>
      <c r="AG25" t="str">
        <f t="shared" si="5"/>
        <v>'15% din umiditate este folosita pentru crestere, 85% se pierde prin evaporare si transpiratie.'),</v>
      </c>
      <c r="AL25" s="25">
        <v>6.14</v>
      </c>
      <c r="AM25" s="25">
        <v>8.18</v>
      </c>
      <c r="AX25">
        <v>123</v>
      </c>
      <c r="AY25" t="s">
        <v>128</v>
      </c>
      <c r="AZ25" t="s">
        <v>129</v>
      </c>
      <c r="BA25" s="22">
        <v>0.21</v>
      </c>
      <c r="BB25" s="22">
        <v>0.4</v>
      </c>
      <c r="BD25">
        <v>23</v>
      </c>
      <c r="BE25" t="s">
        <v>130</v>
      </c>
    </row>
    <row r="26" spans="1:57" x14ac:dyDescent="0.35">
      <c r="A26" s="8"/>
      <c r="B26" s="8" t="s">
        <v>37</v>
      </c>
      <c r="C26" s="8" t="s">
        <v>67</v>
      </c>
      <c r="D26" s="8"/>
      <c r="F26" s="8"/>
      <c r="G26" s="8" t="s">
        <v>94</v>
      </c>
      <c r="H26" s="8"/>
      <c r="I26" s="8"/>
      <c r="S26">
        <v>12</v>
      </c>
      <c r="T26" t="s">
        <v>13</v>
      </c>
      <c r="U26">
        <v>1</v>
      </c>
      <c r="Y26" t="str">
        <f t="shared" si="0"/>
        <v>('124',</v>
      </c>
      <c r="Z26" t="str">
        <f t="shared" si="1"/>
        <v>'38°C',</v>
      </c>
      <c r="AA26" t="str">
        <f t="shared" si="1"/>
        <v>'44.9°C',</v>
      </c>
      <c r="AB26" s="22" t="str">
        <f t="shared" si="2"/>
        <v>'21%',</v>
      </c>
      <c r="AC26" s="22" t="str">
        <f t="shared" si="2"/>
        <v>'40%',</v>
      </c>
      <c r="AD26" s="28" t="str">
        <f t="shared" si="3"/>
        <v>'614',</v>
      </c>
      <c r="AE26" s="28" t="str">
        <f t="shared" si="3"/>
        <v>'818',</v>
      </c>
      <c r="AF26" t="str">
        <f t="shared" si="4"/>
        <v>'24',</v>
      </c>
      <c r="AG26" t="str">
        <f t="shared" si="5"/>
        <v>'15% din umiditate este folosita pentru crestere, 85% se pierde prin evaporare si transpiratie.'),</v>
      </c>
      <c r="AL26" s="25">
        <v>6.14</v>
      </c>
      <c r="AM26" s="25">
        <v>8.18</v>
      </c>
      <c r="AX26">
        <v>124</v>
      </c>
      <c r="AY26" t="s">
        <v>128</v>
      </c>
      <c r="AZ26" t="s">
        <v>129</v>
      </c>
      <c r="BA26" s="22">
        <v>0.21</v>
      </c>
      <c r="BB26" s="22">
        <v>0.4</v>
      </c>
      <c r="BD26">
        <v>24</v>
      </c>
      <c r="BE26" t="s">
        <v>130</v>
      </c>
    </row>
    <row r="27" spans="1:57" x14ac:dyDescent="0.35">
      <c r="A27" s="8"/>
      <c r="B27" s="8" t="s">
        <v>38</v>
      </c>
      <c r="C27" s="8" t="s">
        <v>47</v>
      </c>
      <c r="D27" s="8"/>
      <c r="F27" s="8"/>
      <c r="G27" s="8" t="s">
        <v>95</v>
      </c>
      <c r="H27" s="8"/>
      <c r="I27" s="8"/>
      <c r="S27">
        <v>120</v>
      </c>
      <c r="T27" t="s">
        <v>102</v>
      </c>
      <c r="U27">
        <v>2</v>
      </c>
      <c r="Y27" t="str">
        <f t="shared" si="0"/>
        <v>('125',</v>
      </c>
      <c r="Z27" t="str">
        <f t="shared" si="1"/>
        <v>'38°C',</v>
      </c>
      <c r="AA27" t="str">
        <f t="shared" si="1"/>
        <v>'44.9°C',</v>
      </c>
      <c r="AB27" s="22" t="str">
        <f t="shared" si="2"/>
        <v>'21%',</v>
      </c>
      <c r="AC27" s="22" t="str">
        <f t="shared" si="2"/>
        <v>'40%',</v>
      </c>
      <c r="AD27" s="28" t="str">
        <f t="shared" si="3"/>
        <v>'614',</v>
      </c>
      <c r="AE27" s="28" t="str">
        <f t="shared" si="3"/>
        <v>'818',</v>
      </c>
      <c r="AF27" t="str">
        <f t="shared" si="4"/>
        <v>'25',</v>
      </c>
      <c r="AG27" t="str">
        <f t="shared" si="5"/>
        <v>'15% din umiditate este folosita pentru crestere, 85% se pierde prin evaporare si transpiratie.'),</v>
      </c>
      <c r="AL27" s="25">
        <v>6.14</v>
      </c>
      <c r="AM27" s="25">
        <v>8.18</v>
      </c>
      <c r="AX27">
        <v>125</v>
      </c>
      <c r="AY27" t="s">
        <v>128</v>
      </c>
      <c r="AZ27" t="s">
        <v>129</v>
      </c>
      <c r="BA27" s="22">
        <v>0.21</v>
      </c>
      <c r="BB27" s="22">
        <v>0.4</v>
      </c>
      <c r="BD27">
        <v>25</v>
      </c>
      <c r="BE27" t="s">
        <v>130</v>
      </c>
    </row>
    <row r="28" spans="1:57" x14ac:dyDescent="0.35">
      <c r="A28" s="8"/>
      <c r="B28" s="8" t="s">
        <v>39</v>
      </c>
      <c r="C28" s="8" t="s">
        <v>68</v>
      </c>
      <c r="D28" s="8"/>
      <c r="F28" s="8"/>
      <c r="G28" s="8" t="s">
        <v>96</v>
      </c>
      <c r="H28" s="8"/>
      <c r="I28" s="8"/>
      <c r="S28">
        <v>121</v>
      </c>
      <c r="T28" t="s">
        <v>72</v>
      </c>
      <c r="U28">
        <v>2</v>
      </c>
      <c r="Y28" t="str">
        <f t="shared" si="0"/>
        <v>('126',</v>
      </c>
      <c r="Z28" t="str">
        <f t="shared" si="1"/>
        <v>'38°C',</v>
      </c>
      <c r="AA28" t="str">
        <f t="shared" si="1"/>
        <v>'44.9°C',</v>
      </c>
      <c r="AB28" s="22" t="str">
        <f t="shared" si="2"/>
        <v>'21%',</v>
      </c>
      <c r="AC28" s="22" t="str">
        <f t="shared" si="2"/>
        <v>'40%',</v>
      </c>
      <c r="AD28" s="28" t="str">
        <f t="shared" si="3"/>
        <v>'614',</v>
      </c>
      <c r="AE28" s="28" t="str">
        <f t="shared" si="3"/>
        <v>'818',</v>
      </c>
      <c r="AF28" t="str">
        <f t="shared" si="4"/>
        <v>'26',</v>
      </c>
      <c r="AG28" t="str">
        <f t="shared" si="5"/>
        <v>'15% din umiditate este folosita pentru crestere, 85% se pierde prin evaporare si transpiratie.'),</v>
      </c>
      <c r="AL28" s="25">
        <v>6.14</v>
      </c>
      <c r="AM28" s="25">
        <v>8.18</v>
      </c>
      <c r="AX28">
        <v>126</v>
      </c>
      <c r="AY28" t="s">
        <v>128</v>
      </c>
      <c r="AZ28" t="s">
        <v>129</v>
      </c>
      <c r="BA28" s="22">
        <v>0.21</v>
      </c>
      <c r="BB28" s="22">
        <v>0.4</v>
      </c>
      <c r="BD28">
        <v>26</v>
      </c>
      <c r="BE28" t="s">
        <v>130</v>
      </c>
    </row>
    <row r="29" spans="1:57" x14ac:dyDescent="0.35">
      <c r="A29" s="8"/>
      <c r="B29" s="8" t="s">
        <v>40</v>
      </c>
      <c r="C29" s="8" t="s">
        <v>69</v>
      </c>
      <c r="D29" s="8"/>
      <c r="F29" s="8"/>
      <c r="G29" s="8" t="s">
        <v>97</v>
      </c>
      <c r="H29" s="8"/>
      <c r="I29" s="8"/>
      <c r="S29">
        <v>122</v>
      </c>
      <c r="T29" t="s">
        <v>103</v>
      </c>
      <c r="U29">
        <v>2</v>
      </c>
      <c r="Y29" t="str">
        <f t="shared" si="0"/>
        <v>('127',</v>
      </c>
      <c r="Z29" t="str">
        <f t="shared" si="1"/>
        <v>'38°C',</v>
      </c>
      <c r="AA29" t="str">
        <f t="shared" si="1"/>
        <v>'44.9°C',</v>
      </c>
      <c r="AB29" s="22" t="str">
        <f t="shared" si="2"/>
        <v>'21%',</v>
      </c>
      <c r="AC29" s="22" t="str">
        <f t="shared" si="2"/>
        <v>'40%',</v>
      </c>
      <c r="AD29" s="28" t="str">
        <f t="shared" si="3"/>
        <v>'614',</v>
      </c>
      <c r="AE29" s="28" t="str">
        <f t="shared" si="3"/>
        <v>'818',</v>
      </c>
      <c r="AF29" t="str">
        <f t="shared" si="4"/>
        <v>'27',</v>
      </c>
      <c r="AG29" t="str">
        <f t="shared" si="5"/>
        <v>'15% din umiditate este folosita pentru crestere, 85% se pierde prin evaporare si transpiratie.'),</v>
      </c>
      <c r="AL29" s="25">
        <v>6.14</v>
      </c>
      <c r="AM29" s="25">
        <v>8.18</v>
      </c>
      <c r="AX29">
        <v>127</v>
      </c>
      <c r="AY29" t="s">
        <v>128</v>
      </c>
      <c r="AZ29" t="s">
        <v>129</v>
      </c>
      <c r="BA29" s="22">
        <v>0.21</v>
      </c>
      <c r="BB29" s="22">
        <v>0.4</v>
      </c>
      <c r="BD29">
        <v>27</v>
      </c>
      <c r="BE29" t="s">
        <v>130</v>
      </c>
    </row>
    <row r="30" spans="1:57" x14ac:dyDescent="0.35">
      <c r="A30" s="8"/>
      <c r="B30" s="8" t="s">
        <v>41</v>
      </c>
      <c r="C30" s="8" t="s">
        <v>53</v>
      </c>
      <c r="D30" s="8"/>
      <c r="F30" s="8"/>
      <c r="G30" s="8" t="s">
        <v>98</v>
      </c>
      <c r="H30" s="8"/>
      <c r="I30" s="8"/>
      <c r="S30">
        <v>123</v>
      </c>
      <c r="T30" t="s">
        <v>73</v>
      </c>
      <c r="U30">
        <v>2</v>
      </c>
      <c r="Y30" t="str">
        <f t="shared" si="0"/>
        <v>('128',</v>
      </c>
      <c r="Z30" t="str">
        <f t="shared" si="1"/>
        <v>'38°C',</v>
      </c>
      <c r="AA30" t="str">
        <f t="shared" si="1"/>
        <v>'44.9°C',</v>
      </c>
      <c r="AB30" s="22" t="str">
        <f t="shared" si="2"/>
        <v>'21%',</v>
      </c>
      <c r="AC30" s="22" t="str">
        <f t="shared" si="2"/>
        <v>'40%',</v>
      </c>
      <c r="AD30" s="28" t="str">
        <f t="shared" si="3"/>
        <v>'614',</v>
      </c>
      <c r="AE30" s="28" t="str">
        <f t="shared" si="3"/>
        <v>'818',</v>
      </c>
      <c r="AF30" t="str">
        <f t="shared" si="4"/>
        <v>'28',</v>
      </c>
      <c r="AG30" t="str">
        <f t="shared" si="5"/>
        <v>'15% din umiditate este folosita pentru crestere, 85% se pierde prin evaporare si transpiratie.'),</v>
      </c>
      <c r="AL30" s="25">
        <v>6.14</v>
      </c>
      <c r="AM30" s="25">
        <v>8.18</v>
      </c>
      <c r="AX30">
        <v>128</v>
      </c>
      <c r="AY30" t="s">
        <v>128</v>
      </c>
      <c r="AZ30" t="s">
        <v>129</v>
      </c>
      <c r="BA30" s="22">
        <v>0.21</v>
      </c>
      <c r="BB30" s="22">
        <v>0.4</v>
      </c>
      <c r="BD30">
        <v>28</v>
      </c>
      <c r="BE30" t="s">
        <v>130</v>
      </c>
    </row>
    <row r="31" spans="1:57" x14ac:dyDescent="0.35">
      <c r="A31" s="8"/>
      <c r="B31" s="8" t="s">
        <v>42</v>
      </c>
      <c r="C31" s="8" t="s">
        <v>54</v>
      </c>
      <c r="D31" s="8"/>
      <c r="F31" s="8"/>
      <c r="G31" s="8" t="s">
        <v>99</v>
      </c>
      <c r="H31" s="8"/>
      <c r="I31" s="8"/>
      <c r="S31">
        <v>124</v>
      </c>
      <c r="T31" t="s">
        <v>104</v>
      </c>
      <c r="U31">
        <v>2</v>
      </c>
      <c r="Y31" t="str">
        <f t="shared" si="0"/>
        <v>('129',</v>
      </c>
      <c r="Z31" t="str">
        <f t="shared" si="1"/>
        <v>'38°C',</v>
      </c>
      <c r="AA31" t="str">
        <f t="shared" si="1"/>
        <v>'44.9°C',</v>
      </c>
      <c r="AB31" s="22" t="str">
        <f t="shared" si="2"/>
        <v>'21%',</v>
      </c>
      <c r="AC31" s="22" t="str">
        <f t="shared" si="2"/>
        <v>'40%',</v>
      </c>
      <c r="AD31" s="28" t="str">
        <f t="shared" si="3"/>
        <v>'614',</v>
      </c>
      <c r="AE31" s="28" t="str">
        <f t="shared" si="3"/>
        <v>'818',</v>
      </c>
      <c r="AF31" t="str">
        <f t="shared" si="4"/>
        <v>'29',</v>
      </c>
      <c r="AG31" t="str">
        <f t="shared" si="5"/>
        <v>'15% din umiditate este folosita pentru crestere, 85% se pierde prin evaporare si transpiratie.'),</v>
      </c>
      <c r="AL31" s="25">
        <v>6.14</v>
      </c>
      <c r="AM31" s="25">
        <v>8.18</v>
      </c>
      <c r="AX31">
        <v>129</v>
      </c>
      <c r="AY31" t="s">
        <v>128</v>
      </c>
      <c r="AZ31" t="s">
        <v>129</v>
      </c>
      <c r="BA31" s="22">
        <v>0.21</v>
      </c>
      <c r="BB31" s="22">
        <v>0.4</v>
      </c>
      <c r="BD31">
        <v>29</v>
      </c>
      <c r="BE31" t="s">
        <v>130</v>
      </c>
    </row>
    <row r="32" spans="1:57" x14ac:dyDescent="0.35">
      <c r="A32" s="8"/>
      <c r="B32" s="8" t="s">
        <v>43</v>
      </c>
      <c r="C32" s="8" t="s">
        <v>55</v>
      </c>
      <c r="D32" s="8"/>
      <c r="F32" s="8"/>
      <c r="G32" s="8" t="s">
        <v>100</v>
      </c>
      <c r="H32" s="8"/>
      <c r="I32" s="8"/>
      <c r="S32">
        <v>125</v>
      </c>
      <c r="T32" t="s">
        <v>105</v>
      </c>
      <c r="U32">
        <v>2</v>
      </c>
      <c r="Y32" t="str">
        <f t="shared" si="0"/>
        <v>('130',</v>
      </c>
      <c r="Z32" t="str">
        <f t="shared" si="1"/>
        <v>'38°C',</v>
      </c>
      <c r="AA32" t="str">
        <f t="shared" si="1"/>
        <v>'44.9°C',</v>
      </c>
      <c r="AB32" s="22" t="str">
        <f t="shared" si="2"/>
        <v>'21%',</v>
      </c>
      <c r="AC32" s="22" t="str">
        <f t="shared" si="2"/>
        <v>'40%',</v>
      </c>
      <c r="AD32" s="28" t="str">
        <f t="shared" si="3"/>
        <v>'614',</v>
      </c>
      <c r="AE32" s="28" t="str">
        <f t="shared" si="3"/>
        <v>'818',</v>
      </c>
      <c r="AF32" t="str">
        <f t="shared" si="4"/>
        <v>'30',</v>
      </c>
      <c r="AG32" t="str">
        <f t="shared" si="5"/>
        <v>'15% din umiditate este folosita pentru crestere, 85% se pierde prin evaporare si transpiratie.'),</v>
      </c>
      <c r="AL32" s="25">
        <v>6.14</v>
      </c>
      <c r="AM32" s="25">
        <v>8.18</v>
      </c>
      <c r="AX32">
        <v>130</v>
      </c>
      <c r="AY32" t="s">
        <v>128</v>
      </c>
      <c r="AZ32" t="s">
        <v>129</v>
      </c>
      <c r="BA32" s="22">
        <v>0.21</v>
      </c>
      <c r="BB32" s="22">
        <v>0.4</v>
      </c>
      <c r="BD32">
        <v>30</v>
      </c>
      <c r="BE32" t="s">
        <v>130</v>
      </c>
    </row>
    <row r="33" spans="1:57" x14ac:dyDescent="0.35">
      <c r="A33" s="8"/>
      <c r="B33" s="8" t="s">
        <v>44</v>
      </c>
      <c r="C33" s="8"/>
      <c r="D33" s="8"/>
      <c r="F33" s="8"/>
      <c r="G33" s="8" t="s">
        <v>101</v>
      </c>
      <c r="H33" s="8"/>
      <c r="I33" s="8"/>
      <c r="S33">
        <v>126</v>
      </c>
      <c r="T33" t="s">
        <v>106</v>
      </c>
      <c r="U33">
        <v>2</v>
      </c>
      <c r="Y33" t="str">
        <f t="shared" si="0"/>
        <v>('131',</v>
      </c>
      <c r="Z33" t="str">
        <f t="shared" si="1"/>
        <v>'38°C',</v>
      </c>
      <c r="AA33" t="str">
        <f t="shared" si="1"/>
        <v>'44.9°C',</v>
      </c>
      <c r="AB33" s="22" t="str">
        <f t="shared" si="2"/>
        <v>'21%',</v>
      </c>
      <c r="AC33" s="22" t="str">
        <f t="shared" si="2"/>
        <v>'40%',</v>
      </c>
      <c r="AD33" s="28" t="str">
        <f t="shared" si="3"/>
        <v>'614',</v>
      </c>
      <c r="AE33" s="28" t="str">
        <f t="shared" si="3"/>
        <v>'818',</v>
      </c>
      <c r="AF33" t="str">
        <f t="shared" si="4"/>
        <v>'31',</v>
      </c>
      <c r="AG33" t="str">
        <f t="shared" si="5"/>
        <v>'15% din umiditate este folosita pentru crestere, 85% se pierde prin evaporare si transpiratie.'),</v>
      </c>
      <c r="AL33" s="25">
        <v>6.14</v>
      </c>
      <c r="AM33" s="25">
        <v>8.18</v>
      </c>
      <c r="AX33">
        <v>131</v>
      </c>
      <c r="AY33" t="s">
        <v>128</v>
      </c>
      <c r="AZ33" t="s">
        <v>129</v>
      </c>
      <c r="BA33" s="22">
        <v>0.21</v>
      </c>
      <c r="BB33" s="22">
        <v>0.4</v>
      </c>
      <c r="BD33">
        <v>31</v>
      </c>
      <c r="BE33" t="s">
        <v>130</v>
      </c>
    </row>
    <row r="34" spans="1:57" x14ac:dyDescent="0.35">
      <c r="A34" s="8"/>
      <c r="B34" s="8" t="s">
        <v>45</v>
      </c>
      <c r="C34" s="8"/>
      <c r="D34" s="8"/>
      <c r="F34" s="8"/>
      <c r="G34" s="8" t="s">
        <v>102</v>
      </c>
      <c r="H34" s="8"/>
      <c r="I34" s="8"/>
      <c r="S34">
        <v>127</v>
      </c>
      <c r="T34" t="s">
        <v>107</v>
      </c>
      <c r="U34">
        <v>2</v>
      </c>
      <c r="Y34" t="str">
        <f t="shared" si="0"/>
        <v>('132',</v>
      </c>
      <c r="Z34" t="str">
        <f t="shared" si="1"/>
        <v>'38°C',</v>
      </c>
      <c r="AA34" t="str">
        <f t="shared" si="1"/>
        <v>'44.9°C',</v>
      </c>
      <c r="AB34" s="22" t="str">
        <f t="shared" si="2"/>
        <v>'21%',</v>
      </c>
      <c r="AC34" s="22" t="str">
        <f t="shared" si="2"/>
        <v>'40%',</v>
      </c>
      <c r="AD34" s="28" t="str">
        <f t="shared" si="3"/>
        <v>'614',</v>
      </c>
      <c r="AE34" s="28" t="str">
        <f t="shared" si="3"/>
        <v>'818',</v>
      </c>
      <c r="AF34" t="str">
        <f t="shared" si="4"/>
        <v>'32',</v>
      </c>
      <c r="AG34" t="str">
        <f t="shared" si="5"/>
        <v>'15% din umiditate este folosita pentru crestere, 85% se pierde prin evaporare si transpiratie.'),</v>
      </c>
      <c r="AL34" s="25">
        <v>6.14</v>
      </c>
      <c r="AM34" s="25">
        <v>8.18</v>
      </c>
      <c r="AX34">
        <v>132</v>
      </c>
      <c r="AY34" t="s">
        <v>128</v>
      </c>
      <c r="AZ34" t="s">
        <v>129</v>
      </c>
      <c r="BA34" s="22">
        <v>0.21</v>
      </c>
      <c r="BB34" s="22">
        <v>0.4</v>
      </c>
      <c r="BD34">
        <v>32</v>
      </c>
      <c r="BE34" t="s">
        <v>130</v>
      </c>
    </row>
    <row r="35" spans="1:57" x14ac:dyDescent="0.35">
      <c r="A35" s="8"/>
      <c r="B35" s="8" t="s">
        <v>46</v>
      </c>
      <c r="C35" s="8"/>
      <c r="D35" s="8"/>
      <c r="F35" s="8"/>
      <c r="G35" s="8" t="s">
        <v>72</v>
      </c>
      <c r="H35" s="8"/>
      <c r="I35" s="8"/>
      <c r="S35">
        <v>128</v>
      </c>
      <c r="T35" t="s">
        <v>108</v>
      </c>
      <c r="U35">
        <v>2</v>
      </c>
      <c r="Y35" t="str">
        <f t="shared" si="0"/>
        <v>('133',</v>
      </c>
      <c r="Z35" t="str">
        <f t="shared" si="1"/>
        <v>'38°C',</v>
      </c>
      <c r="AA35" t="str">
        <f t="shared" si="1"/>
        <v>'44.9°C',</v>
      </c>
      <c r="AB35" s="22" t="str">
        <f t="shared" si="2"/>
        <v>'21%',</v>
      </c>
      <c r="AC35" s="22" t="str">
        <f t="shared" si="2"/>
        <v>'40%',</v>
      </c>
      <c r="AD35" s="28" t="str">
        <f t="shared" si="3"/>
        <v>'614',</v>
      </c>
      <c r="AE35" s="28" t="str">
        <f t="shared" si="3"/>
        <v>'818',</v>
      </c>
      <c r="AF35" t="str">
        <f t="shared" si="4"/>
        <v>'33',</v>
      </c>
      <c r="AG35" t="str">
        <f t="shared" si="5"/>
        <v>'15% din umiditate este folosita pentru crestere, 85% se pierde prin evaporare si transpiratie.'),</v>
      </c>
      <c r="AL35" s="25">
        <v>6.14</v>
      </c>
      <c r="AM35" s="25">
        <v>8.18</v>
      </c>
      <c r="AX35">
        <v>133</v>
      </c>
      <c r="AY35" t="s">
        <v>128</v>
      </c>
      <c r="AZ35" t="s">
        <v>129</v>
      </c>
      <c r="BA35" s="22">
        <v>0.21</v>
      </c>
      <c r="BB35" s="22">
        <v>0.4</v>
      </c>
      <c r="BD35">
        <v>33</v>
      </c>
      <c r="BE35" t="s">
        <v>130</v>
      </c>
    </row>
    <row r="36" spans="1:57" x14ac:dyDescent="0.35">
      <c r="A36" s="8"/>
      <c r="B36" s="8" t="s">
        <v>47</v>
      </c>
      <c r="C36" s="8"/>
      <c r="D36" s="8"/>
      <c r="F36" s="8"/>
      <c r="G36" s="8" t="s">
        <v>103</v>
      </c>
      <c r="H36" s="8"/>
      <c r="I36" s="8"/>
      <c r="S36">
        <v>129</v>
      </c>
      <c r="T36" t="s">
        <v>109</v>
      </c>
      <c r="U36">
        <v>2</v>
      </c>
      <c r="Y36" t="str">
        <f t="shared" si="0"/>
        <v>('134',</v>
      </c>
      <c r="Z36" t="str">
        <f t="shared" si="1"/>
        <v>'38°C',</v>
      </c>
      <c r="AA36" t="str">
        <f t="shared" si="1"/>
        <v>'44.9°C',</v>
      </c>
      <c r="AB36" s="22" t="str">
        <f t="shared" si="2"/>
        <v>'21%',</v>
      </c>
      <c r="AC36" s="22" t="str">
        <f t="shared" si="2"/>
        <v>'40%',</v>
      </c>
      <c r="AD36" s="28" t="str">
        <f t="shared" si="3"/>
        <v>'614',</v>
      </c>
      <c r="AE36" s="28" t="str">
        <f t="shared" si="3"/>
        <v>'818',</v>
      </c>
      <c r="AF36" t="str">
        <f t="shared" si="4"/>
        <v>'34',</v>
      </c>
      <c r="AG36" t="str">
        <f t="shared" si="5"/>
        <v>'15% din umiditate este folosita pentru crestere, 85% se pierde prin evaporare si transpiratie.'),</v>
      </c>
      <c r="AL36" s="25">
        <v>6.14</v>
      </c>
      <c r="AM36" s="25">
        <v>8.18</v>
      </c>
      <c r="AX36">
        <v>134</v>
      </c>
      <c r="AY36" t="s">
        <v>128</v>
      </c>
      <c r="AZ36" t="s">
        <v>129</v>
      </c>
      <c r="BA36" s="22">
        <v>0.21</v>
      </c>
      <c r="BB36" s="22">
        <v>0.4</v>
      </c>
      <c r="BD36">
        <v>34</v>
      </c>
      <c r="BE36" t="s">
        <v>130</v>
      </c>
    </row>
    <row r="37" spans="1:57" x14ac:dyDescent="0.35">
      <c r="A37" s="8"/>
      <c r="B37" s="8" t="s">
        <v>48</v>
      </c>
      <c r="C37" s="8"/>
      <c r="D37" s="8"/>
      <c r="F37" s="8"/>
      <c r="G37" s="8" t="s">
        <v>73</v>
      </c>
      <c r="H37" s="8"/>
      <c r="I37" s="8"/>
      <c r="S37">
        <v>13</v>
      </c>
      <c r="T37" t="s">
        <v>14</v>
      </c>
      <c r="U37">
        <v>1</v>
      </c>
      <c r="Y37" t="str">
        <f t="shared" si="0"/>
        <v>('135',</v>
      </c>
      <c r="Z37" t="str">
        <f t="shared" si="1"/>
        <v>'38°C',</v>
      </c>
      <c r="AA37" t="str">
        <f t="shared" si="1"/>
        <v>'44.9°C',</v>
      </c>
      <c r="AB37" s="22" t="str">
        <f t="shared" si="2"/>
        <v>'21%',</v>
      </c>
      <c r="AC37" s="22" t="str">
        <f t="shared" si="2"/>
        <v>'40%',</v>
      </c>
      <c r="AD37" s="28" t="str">
        <f t="shared" si="3"/>
        <v>'614',</v>
      </c>
      <c r="AE37" s="28" t="str">
        <f t="shared" si="3"/>
        <v>'818',</v>
      </c>
      <c r="AF37" t="str">
        <f t="shared" si="4"/>
        <v>'35',</v>
      </c>
      <c r="AG37" t="str">
        <f t="shared" si="5"/>
        <v>'15% din umiditate este folosita pentru crestere, 85% se pierde prin evaporare si transpiratie.'),</v>
      </c>
      <c r="AL37" s="25">
        <v>6.14</v>
      </c>
      <c r="AM37" s="25">
        <v>8.18</v>
      </c>
      <c r="AX37">
        <v>135</v>
      </c>
      <c r="AY37" t="s">
        <v>128</v>
      </c>
      <c r="AZ37" t="s">
        <v>129</v>
      </c>
      <c r="BA37" s="22">
        <v>0.21</v>
      </c>
      <c r="BB37" s="22">
        <v>0.4</v>
      </c>
      <c r="BD37">
        <v>35</v>
      </c>
      <c r="BE37" t="s">
        <v>130</v>
      </c>
    </row>
    <row r="38" spans="1:57" x14ac:dyDescent="0.35">
      <c r="A38" s="8"/>
      <c r="B38" s="8" t="s">
        <v>49</v>
      </c>
      <c r="C38" s="8"/>
      <c r="D38" s="8"/>
      <c r="F38" s="8"/>
      <c r="G38" s="8" t="s">
        <v>104</v>
      </c>
      <c r="H38" s="8"/>
      <c r="I38" s="8"/>
      <c r="S38">
        <v>130</v>
      </c>
      <c r="T38" t="s">
        <v>110</v>
      </c>
      <c r="U38">
        <v>2</v>
      </c>
      <c r="Y38" t="str">
        <f t="shared" si="0"/>
        <v>('136',</v>
      </c>
      <c r="Z38" t="str">
        <f t="shared" si="1"/>
        <v>'38°C',</v>
      </c>
      <c r="AA38" t="str">
        <f t="shared" si="1"/>
        <v>'44.9°C',</v>
      </c>
      <c r="AB38" s="22" t="str">
        <f t="shared" si="2"/>
        <v>'21%',</v>
      </c>
      <c r="AC38" s="22" t="str">
        <f t="shared" si="2"/>
        <v>'40%',</v>
      </c>
      <c r="AD38" s="28" t="str">
        <f t="shared" si="3"/>
        <v>'614',</v>
      </c>
      <c r="AE38" s="28" t="str">
        <f t="shared" si="3"/>
        <v>'818',</v>
      </c>
      <c r="AF38" t="str">
        <f t="shared" si="4"/>
        <v>'36',</v>
      </c>
      <c r="AG38" t="str">
        <f t="shared" si="5"/>
        <v>'15% din umiditate este folosita pentru crestere, 85% se pierde prin evaporare si transpiratie.'),</v>
      </c>
      <c r="AL38" s="25">
        <v>6.14</v>
      </c>
      <c r="AM38" s="25">
        <v>8.18</v>
      </c>
      <c r="AX38">
        <v>136</v>
      </c>
      <c r="AY38" t="s">
        <v>128</v>
      </c>
      <c r="AZ38" t="s">
        <v>129</v>
      </c>
      <c r="BA38" s="22">
        <v>0.21</v>
      </c>
      <c r="BB38" s="22">
        <v>0.4</v>
      </c>
      <c r="BD38">
        <v>36</v>
      </c>
      <c r="BE38" t="s">
        <v>130</v>
      </c>
    </row>
    <row r="39" spans="1:57" x14ac:dyDescent="0.35">
      <c r="A39" s="8"/>
      <c r="B39" s="8" t="s">
        <v>50</v>
      </c>
      <c r="C39" s="8"/>
      <c r="D39" s="8"/>
      <c r="F39" s="8"/>
      <c r="G39" s="8" t="s">
        <v>105</v>
      </c>
      <c r="H39" s="8"/>
      <c r="I39" s="8"/>
      <c r="S39">
        <v>131</v>
      </c>
      <c r="T39" t="s">
        <v>111</v>
      </c>
      <c r="U39">
        <v>2</v>
      </c>
      <c r="Y39" t="str">
        <f t="shared" si="0"/>
        <v>('137',</v>
      </c>
      <c r="Z39" t="str">
        <f t="shared" si="1"/>
        <v>'38°C',</v>
      </c>
      <c r="AA39" t="str">
        <f t="shared" si="1"/>
        <v>'44.9°C',</v>
      </c>
      <c r="AB39" s="22" t="str">
        <f t="shared" si="2"/>
        <v>'21%',</v>
      </c>
      <c r="AC39" s="22" t="str">
        <f t="shared" si="2"/>
        <v>'40%',</v>
      </c>
      <c r="AD39" s="28" t="str">
        <f t="shared" si="3"/>
        <v>'614',</v>
      </c>
      <c r="AE39" s="28" t="str">
        <f t="shared" si="3"/>
        <v>'818',</v>
      </c>
      <c r="AF39" t="str">
        <f t="shared" si="4"/>
        <v>'37',</v>
      </c>
      <c r="AG39" t="str">
        <f t="shared" si="5"/>
        <v>'15% din umiditate este folosita pentru crestere, 85% se pierde prin evaporare si transpiratie.'),</v>
      </c>
      <c r="AL39" s="25">
        <v>6.14</v>
      </c>
      <c r="AM39" s="25">
        <v>8.18</v>
      </c>
      <c r="AX39">
        <v>137</v>
      </c>
      <c r="AY39" t="s">
        <v>128</v>
      </c>
      <c r="AZ39" t="s">
        <v>129</v>
      </c>
      <c r="BA39" s="22">
        <v>0.21</v>
      </c>
      <c r="BB39" s="22">
        <v>0.4</v>
      </c>
      <c r="BD39">
        <v>37</v>
      </c>
      <c r="BE39" t="s">
        <v>130</v>
      </c>
    </row>
    <row r="40" spans="1:57" x14ac:dyDescent="0.35">
      <c r="A40" s="8"/>
      <c r="B40" s="8" t="s">
        <v>51</v>
      </c>
      <c r="C40" s="8"/>
      <c r="D40" s="8"/>
      <c r="F40" s="8"/>
      <c r="G40" s="8" t="s">
        <v>106</v>
      </c>
      <c r="H40" s="8"/>
      <c r="I40" s="8"/>
      <c r="S40">
        <v>132</v>
      </c>
      <c r="T40" t="s">
        <v>78</v>
      </c>
      <c r="U40">
        <v>2</v>
      </c>
      <c r="Y40" t="str">
        <f t="shared" si="0"/>
        <v>('138',</v>
      </c>
      <c r="Z40" t="str">
        <f t="shared" si="1"/>
        <v>'38°C',</v>
      </c>
      <c r="AA40" t="str">
        <f t="shared" si="1"/>
        <v>'44.9°C',</v>
      </c>
      <c r="AB40" s="22" t="str">
        <f t="shared" si="2"/>
        <v>'21%',</v>
      </c>
      <c r="AC40" s="22" t="str">
        <f t="shared" si="2"/>
        <v>'40%',</v>
      </c>
      <c r="AD40" s="28" t="str">
        <f t="shared" si="3"/>
        <v>'410',</v>
      </c>
      <c r="AE40" s="28" t="str">
        <f t="shared" si="3"/>
        <v>'613',</v>
      </c>
      <c r="AF40" t="str">
        <f t="shared" si="4"/>
        <v>'38',</v>
      </c>
      <c r="AG40" t="str">
        <f t="shared" si="5"/>
        <v>'15% din umiditate este folosita pentru crestere, 85% se pierde prin evaporare si transpiratie.'),</v>
      </c>
      <c r="AL40" s="25">
        <v>4.0999999999999996</v>
      </c>
      <c r="AM40" s="25">
        <v>6.13</v>
      </c>
      <c r="AX40">
        <v>138</v>
      </c>
      <c r="AY40" t="s">
        <v>128</v>
      </c>
      <c r="AZ40" t="s">
        <v>129</v>
      </c>
      <c r="BA40" s="22">
        <v>0.21</v>
      </c>
      <c r="BB40" s="22">
        <v>0.4</v>
      </c>
      <c r="BD40">
        <v>38</v>
      </c>
      <c r="BE40" t="s">
        <v>130</v>
      </c>
    </row>
    <row r="41" spans="1:57" x14ac:dyDescent="0.35">
      <c r="A41" s="8"/>
      <c r="B41" s="8" t="s">
        <v>52</v>
      </c>
      <c r="C41" s="8"/>
      <c r="D41" s="8"/>
      <c r="F41" s="8"/>
      <c r="G41" s="8" t="s">
        <v>107</v>
      </c>
      <c r="H41" s="8"/>
      <c r="I41" s="8"/>
      <c r="S41">
        <v>133</v>
      </c>
      <c r="T41" t="s">
        <v>112</v>
      </c>
      <c r="U41">
        <v>2</v>
      </c>
      <c r="Y41" t="str">
        <f t="shared" si="0"/>
        <v>('139',</v>
      </c>
      <c r="Z41" t="str">
        <f t="shared" si="1"/>
        <v>'38°C',</v>
      </c>
      <c r="AA41" t="str">
        <f t="shared" si="1"/>
        <v>'44.9°C',</v>
      </c>
      <c r="AB41" s="22" t="str">
        <f t="shared" si="2"/>
        <v>'21%',</v>
      </c>
      <c r="AC41" s="22" t="str">
        <f t="shared" si="2"/>
        <v>'40%',</v>
      </c>
      <c r="AD41" s="28" t="str">
        <f t="shared" si="3"/>
        <v>'410',</v>
      </c>
      <c r="AE41" s="28" t="str">
        <f t="shared" si="3"/>
        <v>'613',</v>
      </c>
      <c r="AF41" t="str">
        <f t="shared" si="4"/>
        <v>'39',</v>
      </c>
      <c r="AG41" t="str">
        <f t="shared" si="5"/>
        <v>'15% din umiditate este folosita pentru crestere, 85% se pierde prin evaporare si transpiratie.'),</v>
      </c>
      <c r="AL41" s="25">
        <v>4.0999999999999996</v>
      </c>
      <c r="AM41" s="25">
        <v>6.13</v>
      </c>
      <c r="AX41">
        <v>139</v>
      </c>
      <c r="AY41" t="s">
        <v>128</v>
      </c>
      <c r="AZ41" t="s">
        <v>129</v>
      </c>
      <c r="BA41" s="22">
        <v>0.21</v>
      </c>
      <c r="BB41" s="22">
        <v>0.4</v>
      </c>
      <c r="BD41">
        <v>39</v>
      </c>
      <c r="BE41" t="s">
        <v>130</v>
      </c>
    </row>
    <row r="42" spans="1:57" x14ac:dyDescent="0.35">
      <c r="A42" s="8"/>
      <c r="B42" s="8" t="s">
        <v>53</v>
      </c>
      <c r="C42" s="8"/>
      <c r="D42" s="8"/>
      <c r="F42" s="8"/>
      <c r="G42" s="8" t="s">
        <v>108</v>
      </c>
      <c r="H42" s="8"/>
      <c r="I42" s="8"/>
      <c r="S42">
        <v>134</v>
      </c>
      <c r="T42" t="s">
        <v>15</v>
      </c>
      <c r="U42">
        <v>2</v>
      </c>
      <c r="Y42" t="str">
        <f t="shared" si="0"/>
        <v>('140',</v>
      </c>
      <c r="Z42" t="str">
        <f t="shared" si="1"/>
        <v>'38°C',</v>
      </c>
      <c r="AA42" t="str">
        <f t="shared" si="1"/>
        <v>'44.9°C',</v>
      </c>
      <c r="AB42" s="22" t="str">
        <f t="shared" si="2"/>
        <v>'21%',</v>
      </c>
      <c r="AC42" s="22" t="str">
        <f t="shared" si="2"/>
        <v>'40%',</v>
      </c>
      <c r="AD42" s="28" t="str">
        <f t="shared" si="3"/>
        <v>'410',</v>
      </c>
      <c r="AE42" s="28" t="str">
        <f t="shared" si="3"/>
        <v>'613',</v>
      </c>
      <c r="AF42" t="str">
        <f t="shared" si="4"/>
        <v>'40',</v>
      </c>
      <c r="AG42" t="str">
        <f t="shared" si="5"/>
        <v>'15% din umiditate este folosita pentru crestere, 85% se pierde prin evaporare si transpiratie.'),</v>
      </c>
      <c r="AL42" s="25">
        <v>4.0999999999999996</v>
      </c>
      <c r="AM42" s="25">
        <v>6.13</v>
      </c>
      <c r="AX42">
        <v>140</v>
      </c>
      <c r="AY42" t="s">
        <v>128</v>
      </c>
      <c r="AZ42" t="s">
        <v>129</v>
      </c>
      <c r="BA42" s="22">
        <v>0.21</v>
      </c>
      <c r="BB42" s="22">
        <v>0.4</v>
      </c>
      <c r="BD42">
        <v>40</v>
      </c>
      <c r="BE42" t="s">
        <v>130</v>
      </c>
    </row>
    <row r="43" spans="1:57" x14ac:dyDescent="0.35">
      <c r="A43" s="8"/>
      <c r="B43" s="8" t="s">
        <v>54</v>
      </c>
      <c r="C43" s="8"/>
      <c r="D43" s="8"/>
      <c r="F43" s="8"/>
      <c r="G43" s="8" t="s">
        <v>109</v>
      </c>
      <c r="H43" s="8"/>
      <c r="I43" s="8"/>
      <c r="S43">
        <v>135</v>
      </c>
      <c r="T43" t="s">
        <v>17</v>
      </c>
      <c r="U43">
        <v>2</v>
      </c>
      <c r="Y43" t="str">
        <f t="shared" si="0"/>
        <v>('141',</v>
      </c>
      <c r="Z43" t="str">
        <f t="shared" si="1"/>
        <v>'38°C',</v>
      </c>
      <c r="AA43" t="str">
        <f t="shared" si="1"/>
        <v>'44.9°C',</v>
      </c>
      <c r="AB43" s="22" t="str">
        <f t="shared" si="2"/>
        <v>'21%',</v>
      </c>
      <c r="AC43" s="22" t="str">
        <f t="shared" si="2"/>
        <v>'40%',</v>
      </c>
      <c r="AD43" s="28" t="str">
        <f t="shared" si="3"/>
        <v>'410',</v>
      </c>
      <c r="AE43" s="28" t="str">
        <f t="shared" si="3"/>
        <v>'613',</v>
      </c>
      <c r="AF43" t="str">
        <f t="shared" si="4"/>
        <v>'41',</v>
      </c>
      <c r="AG43" t="str">
        <f t="shared" si="5"/>
        <v>'15% din umiditate este folosita pentru crestere, 85% se pierde prin evaporare si transpiratie.'),</v>
      </c>
      <c r="AL43" s="25">
        <v>4.0999999999999996</v>
      </c>
      <c r="AM43" s="25">
        <v>6.13</v>
      </c>
      <c r="AX43">
        <v>141</v>
      </c>
      <c r="AY43" t="s">
        <v>128</v>
      </c>
      <c r="AZ43" t="s">
        <v>129</v>
      </c>
      <c r="BA43" s="22">
        <v>0.21</v>
      </c>
      <c r="BB43" s="22">
        <v>0.4</v>
      </c>
      <c r="BD43">
        <v>41</v>
      </c>
      <c r="BE43" t="s">
        <v>130</v>
      </c>
    </row>
    <row r="44" spans="1:57" x14ac:dyDescent="0.35">
      <c r="A44" s="8"/>
      <c r="B44" s="8" t="s">
        <v>55</v>
      </c>
      <c r="C44" s="8"/>
      <c r="D44" s="8"/>
      <c r="F44" s="8"/>
      <c r="G44" s="8" t="s">
        <v>110</v>
      </c>
      <c r="H44" s="8"/>
      <c r="I44" s="8"/>
      <c r="S44">
        <v>136</v>
      </c>
      <c r="T44" t="s">
        <v>84</v>
      </c>
      <c r="U44">
        <v>2</v>
      </c>
      <c r="Y44" t="str">
        <f t="shared" si="0"/>
        <v>('142',</v>
      </c>
      <c r="Z44" t="str">
        <f t="shared" si="1"/>
        <v>'38°C',</v>
      </c>
      <c r="AA44" t="str">
        <f t="shared" si="1"/>
        <v>'44.9°C',</v>
      </c>
      <c r="AB44" s="22" t="str">
        <f t="shared" si="2"/>
        <v>'21%',</v>
      </c>
      <c r="AC44" s="22" t="str">
        <f t="shared" si="2"/>
        <v>'40%',</v>
      </c>
      <c r="AD44" s="28" t="str">
        <f t="shared" si="3"/>
        <v>'410',</v>
      </c>
      <c r="AE44" s="28" t="str">
        <f t="shared" si="3"/>
        <v>'613',</v>
      </c>
      <c r="AF44" t="str">
        <f t="shared" si="4"/>
        <v>'42',</v>
      </c>
      <c r="AG44" t="str">
        <f t="shared" si="5"/>
        <v>'15% din umiditate este folosita pentru crestere, 85% se pierde prin evaporare si transpiratie.'),</v>
      </c>
      <c r="AL44" s="25">
        <v>4.0999999999999996</v>
      </c>
      <c r="AM44" s="25">
        <v>6.13</v>
      </c>
      <c r="AX44">
        <v>142</v>
      </c>
      <c r="AY44" t="s">
        <v>128</v>
      </c>
      <c r="AZ44" t="s">
        <v>129</v>
      </c>
      <c r="BA44" s="22">
        <v>0.21</v>
      </c>
      <c r="BB44" s="22">
        <v>0.4</v>
      </c>
      <c r="BD44">
        <v>42</v>
      </c>
      <c r="BE44" t="s">
        <v>130</v>
      </c>
    </row>
    <row r="45" spans="1:57" x14ac:dyDescent="0.35">
      <c r="A45" s="8"/>
      <c r="B45" s="8" t="s">
        <v>56</v>
      </c>
      <c r="C45" s="8"/>
      <c r="D45" s="8"/>
      <c r="F45" s="8"/>
      <c r="G45" s="8" t="s">
        <v>111</v>
      </c>
      <c r="H45" s="8"/>
      <c r="I45" s="8"/>
      <c r="S45">
        <v>137</v>
      </c>
      <c r="T45" t="s">
        <v>113</v>
      </c>
      <c r="U45">
        <v>2</v>
      </c>
      <c r="Y45" t="str">
        <f t="shared" si="0"/>
        <v>('143',</v>
      </c>
      <c r="Z45" t="str">
        <f t="shared" si="1"/>
        <v>'38°C',</v>
      </c>
      <c r="AA45" t="str">
        <f t="shared" si="1"/>
        <v>'44.9°C',</v>
      </c>
      <c r="AB45" s="22" t="str">
        <f t="shared" si="2"/>
        <v>'21%',</v>
      </c>
      <c r="AC45" s="22" t="str">
        <f t="shared" si="2"/>
        <v>'40%',</v>
      </c>
      <c r="AD45" s="28" t="str">
        <f t="shared" si="3"/>
        <v>'410',</v>
      </c>
      <c r="AE45" s="28" t="str">
        <f t="shared" si="3"/>
        <v>'613',</v>
      </c>
      <c r="AF45" t="str">
        <f t="shared" si="4"/>
        <v>'43',</v>
      </c>
      <c r="AG45" t="str">
        <f t="shared" si="5"/>
        <v>'15% din umiditate este folosita pentru crestere, 85% se pierde prin evaporare si transpiratie.'),</v>
      </c>
      <c r="AL45" s="25">
        <v>4.0999999999999996</v>
      </c>
      <c r="AM45" s="25">
        <v>6.13</v>
      </c>
      <c r="AX45">
        <v>143</v>
      </c>
      <c r="AY45" t="s">
        <v>128</v>
      </c>
      <c r="AZ45" t="s">
        <v>129</v>
      </c>
      <c r="BA45" s="22">
        <v>0.21</v>
      </c>
      <c r="BB45" s="22">
        <v>0.4</v>
      </c>
      <c r="BD45">
        <v>43</v>
      </c>
      <c r="BE45" t="s">
        <v>130</v>
      </c>
    </row>
    <row r="46" spans="1:57" x14ac:dyDescent="0.35">
      <c r="A46" s="8"/>
      <c r="B46" s="8" t="s">
        <v>58</v>
      </c>
      <c r="C46" s="8"/>
      <c r="D46" s="8"/>
      <c r="S46">
        <v>138</v>
      </c>
      <c r="T46" t="s">
        <v>87</v>
      </c>
      <c r="U46">
        <v>2</v>
      </c>
      <c r="Y46" t="str">
        <f t="shared" si="0"/>
        <v>('144',</v>
      </c>
      <c r="Z46" t="str">
        <f t="shared" si="1"/>
        <v>'38°C',</v>
      </c>
      <c r="AA46" t="str">
        <f t="shared" si="1"/>
        <v>'44.9°C',</v>
      </c>
      <c r="AB46" s="22" t="str">
        <f t="shared" si="2"/>
        <v>'21%',</v>
      </c>
      <c r="AC46" s="22" t="str">
        <f t="shared" si="2"/>
        <v>'40%',</v>
      </c>
      <c r="AD46" s="28" t="str">
        <f t="shared" si="3"/>
        <v>'410',</v>
      </c>
      <c r="AE46" s="28" t="str">
        <f t="shared" si="3"/>
        <v>'613',</v>
      </c>
      <c r="AF46" t="str">
        <f t="shared" si="4"/>
        <v>'44',</v>
      </c>
      <c r="AG46" t="str">
        <f t="shared" si="5"/>
        <v>'15% din umiditate este folosita pentru crestere, 85% se pierde prin evaporare si transpiratie.'),</v>
      </c>
      <c r="AL46" s="25">
        <v>4.0999999999999996</v>
      </c>
      <c r="AM46" s="25">
        <v>6.13</v>
      </c>
      <c r="AX46">
        <v>144</v>
      </c>
      <c r="AY46" t="s">
        <v>128</v>
      </c>
      <c r="AZ46" t="s">
        <v>129</v>
      </c>
      <c r="BA46" s="22">
        <v>0.21</v>
      </c>
      <c r="BB46" s="22">
        <v>0.4</v>
      </c>
      <c r="BD46">
        <v>44</v>
      </c>
      <c r="BE46" t="s">
        <v>130</v>
      </c>
    </row>
    <row r="47" spans="1:57" x14ac:dyDescent="0.35">
      <c r="S47">
        <v>139</v>
      </c>
      <c r="T47" t="s">
        <v>74</v>
      </c>
      <c r="U47">
        <v>2</v>
      </c>
      <c r="Y47" t="str">
        <f t="shared" si="0"/>
        <v>('145',</v>
      </c>
      <c r="Z47" t="str">
        <f t="shared" si="1"/>
        <v>'38°C',</v>
      </c>
      <c r="AA47" t="str">
        <f t="shared" si="1"/>
        <v>'44.9°C',</v>
      </c>
      <c r="AB47" s="22" t="str">
        <f t="shared" si="2"/>
        <v>'21%',</v>
      </c>
      <c r="AC47" s="22" t="str">
        <f t="shared" si="2"/>
        <v>'40%',</v>
      </c>
      <c r="AD47" s="28" t="str">
        <f t="shared" si="3"/>
        <v>'410',</v>
      </c>
      <c r="AE47" s="28" t="str">
        <f t="shared" si="3"/>
        <v>'613',</v>
      </c>
      <c r="AF47" t="str">
        <f t="shared" si="4"/>
        <v>'45',</v>
      </c>
      <c r="AG47" t="str">
        <f t="shared" si="5"/>
        <v>'15% din umiditate este folosita pentru crestere, 85% se pierde prin evaporare si transpiratie.'),</v>
      </c>
      <c r="AL47" s="25">
        <v>4.0999999999999996</v>
      </c>
      <c r="AM47" s="25">
        <v>6.13</v>
      </c>
      <c r="AX47">
        <v>145</v>
      </c>
      <c r="AY47" t="s">
        <v>128</v>
      </c>
      <c r="AZ47" t="s">
        <v>129</v>
      </c>
      <c r="BA47" s="22">
        <v>0.21</v>
      </c>
      <c r="BB47" s="22">
        <v>0.4</v>
      </c>
      <c r="BD47">
        <v>45</v>
      </c>
      <c r="BE47" t="s">
        <v>130</v>
      </c>
    </row>
    <row r="48" spans="1:57" x14ac:dyDescent="0.35">
      <c r="S48">
        <v>14</v>
      </c>
      <c r="T48" t="s">
        <v>15</v>
      </c>
      <c r="U48">
        <v>1</v>
      </c>
      <c r="Y48" t="str">
        <f t="shared" si="0"/>
        <v>('146',</v>
      </c>
      <c r="Z48" t="str">
        <f t="shared" si="1"/>
        <v>'38°C',</v>
      </c>
      <c r="AA48" t="str">
        <f t="shared" si="1"/>
        <v>'44.9°C',</v>
      </c>
      <c r="AB48" s="22" t="str">
        <f t="shared" si="2"/>
        <v>'21%',</v>
      </c>
      <c r="AC48" s="22" t="str">
        <f t="shared" si="2"/>
        <v>'40%',</v>
      </c>
      <c r="AD48" s="28" t="str">
        <f t="shared" si="3"/>
        <v>'614',</v>
      </c>
      <c r="AE48" s="28" t="str">
        <f t="shared" si="3"/>
        <v>'818',</v>
      </c>
      <c r="AF48" t="str">
        <f t="shared" si="4"/>
        <v>'46',</v>
      </c>
      <c r="AG48" t="str">
        <f t="shared" si="5"/>
        <v>'15% din umiditate este folosita pentru crestere, 85% se pierde prin evaporare si transpiratie.'),</v>
      </c>
      <c r="AL48" s="25">
        <v>6.14</v>
      </c>
      <c r="AM48" s="25">
        <v>8.18</v>
      </c>
      <c r="AX48">
        <v>146</v>
      </c>
      <c r="AY48" t="s">
        <v>128</v>
      </c>
      <c r="AZ48" t="s">
        <v>129</v>
      </c>
      <c r="BA48" s="22">
        <v>0.21</v>
      </c>
      <c r="BB48" s="22">
        <v>0.4</v>
      </c>
      <c r="BD48">
        <v>46</v>
      </c>
      <c r="BE48" t="s">
        <v>130</v>
      </c>
    </row>
    <row r="49" spans="19:57" x14ac:dyDescent="0.35">
      <c r="S49">
        <v>140</v>
      </c>
      <c r="T49" t="s">
        <v>75</v>
      </c>
      <c r="U49">
        <v>2</v>
      </c>
      <c r="Y49" t="str">
        <f t="shared" si="0"/>
        <v>('147',</v>
      </c>
      <c r="Z49" t="str">
        <f t="shared" si="1"/>
        <v>'38°C',</v>
      </c>
      <c r="AA49" t="str">
        <f t="shared" si="1"/>
        <v>'44.9°C',</v>
      </c>
      <c r="AB49" s="22" t="str">
        <f t="shared" si="2"/>
        <v>'21%',</v>
      </c>
      <c r="AC49" s="22" t="str">
        <f t="shared" si="2"/>
        <v>'40%',</v>
      </c>
      <c r="AD49" s="28" t="str">
        <f t="shared" si="3"/>
        <v>'410',</v>
      </c>
      <c r="AE49" s="28" t="str">
        <f t="shared" si="3"/>
        <v>'613',</v>
      </c>
      <c r="AF49" t="str">
        <f t="shared" si="4"/>
        <v>'47',</v>
      </c>
      <c r="AG49" t="str">
        <f t="shared" si="5"/>
        <v>'15% din umiditate este folosita pentru crestere, 85% se pierde prin evaporare si transpiratie.'),</v>
      </c>
      <c r="AL49" s="25">
        <v>4.0999999999999996</v>
      </c>
      <c r="AM49" s="25">
        <v>6.13</v>
      </c>
      <c r="AX49">
        <v>147</v>
      </c>
      <c r="AY49" t="s">
        <v>128</v>
      </c>
      <c r="AZ49" t="s">
        <v>129</v>
      </c>
      <c r="BA49" s="22">
        <v>0.21</v>
      </c>
      <c r="BB49" s="22">
        <v>0.4</v>
      </c>
      <c r="BD49">
        <v>47</v>
      </c>
      <c r="BE49" t="s">
        <v>130</v>
      </c>
    </row>
    <row r="50" spans="19:57" x14ac:dyDescent="0.35">
      <c r="S50">
        <v>141</v>
      </c>
      <c r="T50" t="s">
        <v>19</v>
      </c>
      <c r="U50">
        <v>2</v>
      </c>
      <c r="Y50" t="str">
        <f t="shared" si="0"/>
        <v>('148',</v>
      </c>
      <c r="Z50" t="str">
        <f t="shared" si="1"/>
        <v>'38°C',</v>
      </c>
      <c r="AA50" t="str">
        <f t="shared" si="1"/>
        <v>'44.9°C',</v>
      </c>
      <c r="AB50" s="22" t="str">
        <f t="shared" si="2"/>
        <v>'21%',</v>
      </c>
      <c r="AC50" s="22" t="str">
        <f t="shared" si="2"/>
        <v>'40%',</v>
      </c>
      <c r="AD50" s="28" t="str">
        <f t="shared" si="3"/>
        <v>'410',</v>
      </c>
      <c r="AE50" s="28" t="str">
        <f t="shared" si="3"/>
        <v>'613',</v>
      </c>
      <c r="AF50" t="str">
        <f t="shared" si="4"/>
        <v>'48',</v>
      </c>
      <c r="AG50" t="str">
        <f t="shared" si="5"/>
        <v>'15% din umiditate este folosita pentru crestere, 85% se pierde prin evaporare si transpiratie.'),</v>
      </c>
      <c r="AL50" s="25">
        <v>4.0999999999999996</v>
      </c>
      <c r="AM50" s="25">
        <v>6.13</v>
      </c>
      <c r="AX50">
        <v>148</v>
      </c>
      <c r="AY50" t="s">
        <v>128</v>
      </c>
      <c r="AZ50" t="s">
        <v>129</v>
      </c>
      <c r="BA50" s="22">
        <v>0.21</v>
      </c>
      <c r="BB50" s="22">
        <v>0.4</v>
      </c>
      <c r="BD50">
        <v>48</v>
      </c>
      <c r="BE50" t="s">
        <v>130</v>
      </c>
    </row>
    <row r="51" spans="19:57" x14ac:dyDescent="0.35">
      <c r="S51">
        <v>142</v>
      </c>
      <c r="T51" t="s">
        <v>20</v>
      </c>
      <c r="U51">
        <v>2</v>
      </c>
      <c r="Y51" t="str">
        <f t="shared" si="0"/>
        <v>('149',</v>
      </c>
      <c r="Z51" t="str">
        <f t="shared" si="1"/>
        <v>'38°C',</v>
      </c>
      <c r="AA51" t="str">
        <f t="shared" si="1"/>
        <v>'44.9°C',</v>
      </c>
      <c r="AB51" s="22" t="str">
        <f t="shared" si="2"/>
        <v>'21%',</v>
      </c>
      <c r="AC51" s="22" t="str">
        <f t="shared" si="2"/>
        <v>'40%',</v>
      </c>
      <c r="AD51" s="28" t="str">
        <f t="shared" si="3"/>
        <v>'410',</v>
      </c>
      <c r="AE51" s="28" t="str">
        <f t="shared" si="3"/>
        <v>'613',</v>
      </c>
      <c r="AF51" t="str">
        <f t="shared" si="4"/>
        <v>'49',</v>
      </c>
      <c r="AG51" t="str">
        <f t="shared" si="5"/>
        <v>'15% din umiditate este folosita pentru crestere, 85% se pierde prin evaporare si transpiratie.'),</v>
      </c>
      <c r="AL51" s="25">
        <v>4.0999999999999996</v>
      </c>
      <c r="AM51" s="25">
        <v>6.13</v>
      </c>
      <c r="AX51">
        <v>149</v>
      </c>
      <c r="AY51" t="s">
        <v>128</v>
      </c>
      <c r="AZ51" t="s">
        <v>129</v>
      </c>
      <c r="BA51" s="22">
        <v>0.21</v>
      </c>
      <c r="BB51" s="22">
        <v>0.4</v>
      </c>
      <c r="BD51">
        <v>49</v>
      </c>
      <c r="BE51" t="s">
        <v>130</v>
      </c>
    </row>
    <row r="52" spans="19:57" x14ac:dyDescent="0.35">
      <c r="S52">
        <v>143</v>
      </c>
      <c r="T52" t="s">
        <v>21</v>
      </c>
      <c r="U52">
        <v>2</v>
      </c>
      <c r="Y52" t="str">
        <f t="shared" si="0"/>
        <v>('150',</v>
      </c>
      <c r="Z52" t="str">
        <f t="shared" si="1"/>
        <v>'32°C',</v>
      </c>
      <c r="AA52" t="str">
        <f t="shared" si="1"/>
        <v>'37.9°C',</v>
      </c>
      <c r="AB52" s="22" t="str">
        <f t="shared" si="2"/>
        <v>'41%',</v>
      </c>
      <c r="AC52" s="22" t="str">
        <f t="shared" si="2"/>
        <v>'60%',</v>
      </c>
      <c r="AD52" s="28" t="str">
        <f t="shared" si="3"/>
        <v>'410',</v>
      </c>
      <c r="AE52" s="28" t="str">
        <f t="shared" si="3"/>
        <v>'613',</v>
      </c>
      <c r="AF52" t="str">
        <f t="shared" si="4"/>
        <v>'50',</v>
      </c>
      <c r="AG52" t="str">
        <f t="shared" si="5"/>
        <v>'Cresterea plantelor incetineste.'),</v>
      </c>
      <c r="AL52" s="25">
        <v>4.0999999999999996</v>
      </c>
      <c r="AM52" s="25">
        <v>6.13</v>
      </c>
      <c r="AX52">
        <v>150</v>
      </c>
      <c r="AY52" t="s">
        <v>131</v>
      </c>
      <c r="AZ52" t="s">
        <v>132</v>
      </c>
      <c r="BA52" s="22">
        <v>0.41</v>
      </c>
      <c r="BB52" s="22">
        <v>0.6</v>
      </c>
      <c r="BD52">
        <v>50</v>
      </c>
      <c r="BE52" t="s">
        <v>133</v>
      </c>
    </row>
    <row r="53" spans="19:57" x14ac:dyDescent="0.35">
      <c r="S53">
        <v>144</v>
      </c>
      <c r="T53" t="s">
        <v>114</v>
      </c>
      <c r="U53">
        <v>2</v>
      </c>
      <c r="Y53" t="str">
        <f t="shared" si="0"/>
        <v>('151',</v>
      </c>
      <c r="Z53" t="str">
        <f t="shared" si="1"/>
        <v>'32°C',</v>
      </c>
      <c r="AA53" t="str">
        <f t="shared" si="1"/>
        <v>'37.9°C',</v>
      </c>
      <c r="AB53" s="22" t="str">
        <f t="shared" si="2"/>
        <v>'41%',</v>
      </c>
      <c r="AC53" s="22" t="str">
        <f t="shared" si="2"/>
        <v>'60%',</v>
      </c>
      <c r="AD53" s="28" t="str">
        <f t="shared" si="3"/>
        <v>'410',</v>
      </c>
      <c r="AE53" s="28" t="str">
        <f t="shared" si="3"/>
        <v>'613',</v>
      </c>
      <c r="AF53" t="str">
        <f t="shared" si="4"/>
        <v>'51',</v>
      </c>
      <c r="AG53" t="str">
        <f t="shared" si="5"/>
        <v>'Cresterea plantelor incetineste.'),</v>
      </c>
      <c r="AL53" s="25">
        <v>4.0999999999999996</v>
      </c>
      <c r="AM53" s="25">
        <v>6.13</v>
      </c>
      <c r="AX53">
        <v>151</v>
      </c>
      <c r="AY53" t="s">
        <v>131</v>
      </c>
      <c r="AZ53" t="s">
        <v>132</v>
      </c>
      <c r="BA53" s="22">
        <v>0.41</v>
      </c>
      <c r="BB53" s="22">
        <v>0.6</v>
      </c>
      <c r="BD53">
        <v>51</v>
      </c>
      <c r="BE53" t="s">
        <v>133</v>
      </c>
    </row>
    <row r="54" spans="19:57" x14ac:dyDescent="0.35">
      <c r="S54">
        <v>145</v>
      </c>
      <c r="T54" t="s">
        <v>115</v>
      </c>
      <c r="U54">
        <v>2</v>
      </c>
      <c r="Y54" t="str">
        <f t="shared" si="0"/>
        <v>('152',</v>
      </c>
      <c r="Z54" t="str">
        <f t="shared" si="1"/>
        <v>'32°C',</v>
      </c>
      <c r="AA54" t="str">
        <f t="shared" si="1"/>
        <v>'37.9°C',</v>
      </c>
      <c r="AB54" s="22" t="str">
        <f t="shared" si="2"/>
        <v>'41%',</v>
      </c>
      <c r="AC54" s="22" t="str">
        <f t="shared" si="2"/>
        <v>'60%',</v>
      </c>
      <c r="AD54" s="28" t="str">
        <f t="shared" si="3"/>
        <v>'410',</v>
      </c>
      <c r="AE54" s="28" t="str">
        <f t="shared" si="3"/>
        <v>'613',</v>
      </c>
      <c r="AF54" t="str">
        <f t="shared" si="4"/>
        <v>'52',</v>
      </c>
      <c r="AG54" t="str">
        <f t="shared" si="5"/>
        <v>'Cresterea plantelor incetineste.'),</v>
      </c>
      <c r="AL54" s="25">
        <v>4.0999999999999996</v>
      </c>
      <c r="AM54" s="25">
        <v>6.13</v>
      </c>
      <c r="AX54">
        <v>152</v>
      </c>
      <c r="AY54" t="s">
        <v>131</v>
      </c>
      <c r="AZ54" t="s">
        <v>132</v>
      </c>
      <c r="BA54" s="22">
        <v>0.41</v>
      </c>
      <c r="BB54" s="22">
        <v>0.6</v>
      </c>
      <c r="BD54">
        <v>52</v>
      </c>
      <c r="BE54" t="s">
        <v>133</v>
      </c>
    </row>
    <row r="55" spans="19:57" x14ac:dyDescent="0.35">
      <c r="S55">
        <v>146</v>
      </c>
      <c r="T55" t="s">
        <v>116</v>
      </c>
      <c r="U55">
        <v>2</v>
      </c>
      <c r="Y55" t="str">
        <f t="shared" si="0"/>
        <v>('153',</v>
      </c>
      <c r="Z55" t="str">
        <f t="shared" si="1"/>
        <v>'32°C',</v>
      </c>
      <c r="AA55" t="str">
        <f t="shared" si="1"/>
        <v>'37.9°C',</v>
      </c>
      <c r="AB55" s="22" t="str">
        <f t="shared" si="2"/>
        <v>'41%',</v>
      </c>
      <c r="AC55" s="22" t="str">
        <f t="shared" si="2"/>
        <v>'60%',</v>
      </c>
      <c r="AD55" s="28" t="str">
        <f t="shared" si="3"/>
        <v>'410',</v>
      </c>
      <c r="AE55" s="28" t="str">
        <f t="shared" si="3"/>
        <v>'613',</v>
      </c>
      <c r="AF55" t="str">
        <f t="shared" si="4"/>
        <v>'53',</v>
      </c>
      <c r="AG55" t="str">
        <f t="shared" si="5"/>
        <v>'Cresterea plantelor incetineste.'),</v>
      </c>
      <c r="AL55" s="25">
        <v>4.0999999999999996</v>
      </c>
      <c r="AM55" s="25">
        <v>6.13</v>
      </c>
      <c r="AX55">
        <v>153</v>
      </c>
      <c r="AY55" t="s">
        <v>131</v>
      </c>
      <c r="AZ55" t="s">
        <v>132</v>
      </c>
      <c r="BA55" s="22">
        <v>0.41</v>
      </c>
      <c r="BB55" s="22">
        <v>0.6</v>
      </c>
      <c r="BD55">
        <v>53</v>
      </c>
      <c r="BE55" t="s">
        <v>133</v>
      </c>
    </row>
    <row r="56" spans="19:57" x14ac:dyDescent="0.35">
      <c r="S56">
        <v>147</v>
      </c>
      <c r="T56" t="s">
        <v>105</v>
      </c>
      <c r="U56">
        <v>2</v>
      </c>
      <c r="Y56" t="str">
        <f t="shared" si="0"/>
        <v>('154',</v>
      </c>
      <c r="Z56" t="str">
        <f t="shared" si="1"/>
        <v>'32°C',</v>
      </c>
      <c r="AA56" t="str">
        <f t="shared" si="1"/>
        <v>'37.9°C',</v>
      </c>
      <c r="AB56" s="22" t="str">
        <f t="shared" si="2"/>
        <v>'41%',</v>
      </c>
      <c r="AC56" s="22" t="str">
        <f t="shared" si="2"/>
        <v>'60%',</v>
      </c>
      <c r="AD56" s="28" t="str">
        <f t="shared" si="3"/>
        <v>'410',</v>
      </c>
      <c r="AE56" s="28" t="str">
        <f t="shared" si="3"/>
        <v>'613',</v>
      </c>
      <c r="AF56" t="str">
        <f t="shared" si="4"/>
        <v>'54',</v>
      </c>
      <c r="AG56" t="str">
        <f t="shared" si="5"/>
        <v>'Cresterea plantelor incetineste.'),</v>
      </c>
      <c r="AL56" s="25">
        <v>4.0999999999999996</v>
      </c>
      <c r="AM56" s="25">
        <v>6.13</v>
      </c>
      <c r="AX56">
        <v>154</v>
      </c>
      <c r="AY56" t="s">
        <v>131</v>
      </c>
      <c r="AZ56" t="s">
        <v>132</v>
      </c>
      <c r="BA56" s="22">
        <v>0.41</v>
      </c>
      <c r="BB56" s="22">
        <v>0.6</v>
      </c>
      <c r="BD56">
        <v>54</v>
      </c>
      <c r="BE56" t="s">
        <v>133</v>
      </c>
    </row>
    <row r="57" spans="19:57" x14ac:dyDescent="0.35">
      <c r="S57">
        <v>148</v>
      </c>
      <c r="T57" t="s">
        <v>106</v>
      </c>
      <c r="U57">
        <v>2</v>
      </c>
      <c r="Y57" t="str">
        <f t="shared" si="0"/>
        <v>('155',</v>
      </c>
      <c r="Z57" t="str">
        <f t="shared" si="1"/>
        <v>'32°C',</v>
      </c>
      <c r="AA57" t="str">
        <f t="shared" si="1"/>
        <v>'37.9°C',</v>
      </c>
      <c r="AB57" s="22" t="str">
        <f t="shared" si="2"/>
        <v>'41%',</v>
      </c>
      <c r="AC57" s="22" t="str">
        <f t="shared" si="2"/>
        <v>'60%',</v>
      </c>
      <c r="AD57" s="28" t="str">
        <f t="shared" si="3"/>
        <v>'410',</v>
      </c>
      <c r="AE57" s="28" t="str">
        <f t="shared" si="3"/>
        <v>'613',</v>
      </c>
      <c r="AF57" t="str">
        <f t="shared" si="4"/>
        <v>'55',</v>
      </c>
      <c r="AG57" t="str">
        <f t="shared" si="5"/>
        <v>'Cresterea plantelor incetineste.'),</v>
      </c>
      <c r="AL57" s="25">
        <v>4.0999999999999996</v>
      </c>
      <c r="AM57" s="25">
        <v>6.13</v>
      </c>
      <c r="AX57">
        <v>155</v>
      </c>
      <c r="AY57" t="s">
        <v>131</v>
      </c>
      <c r="AZ57" t="s">
        <v>132</v>
      </c>
      <c r="BA57" s="22">
        <v>0.41</v>
      </c>
      <c r="BB57" s="22">
        <v>0.6</v>
      </c>
      <c r="BD57">
        <v>55</v>
      </c>
      <c r="BE57" t="s">
        <v>133</v>
      </c>
    </row>
    <row r="58" spans="19:57" x14ac:dyDescent="0.35">
      <c r="S58">
        <v>149</v>
      </c>
      <c r="T58" t="s">
        <v>110</v>
      </c>
      <c r="U58">
        <v>2</v>
      </c>
      <c r="Y58" t="str">
        <f t="shared" si="0"/>
        <v>('156',</v>
      </c>
      <c r="Z58" t="str">
        <f t="shared" si="1"/>
        <v>'32°C',</v>
      </c>
      <c r="AA58" t="str">
        <f t="shared" si="1"/>
        <v>'37.9°C',</v>
      </c>
      <c r="AB58" s="22" t="str">
        <f t="shared" si="2"/>
        <v>'41%',</v>
      </c>
      <c r="AC58" s="22" t="str">
        <f t="shared" si="2"/>
        <v>'60%',</v>
      </c>
      <c r="AD58" s="28" t="str">
        <f t="shared" si="3"/>
        <v>'410',</v>
      </c>
      <c r="AE58" s="28" t="str">
        <f t="shared" si="3"/>
        <v>'613',</v>
      </c>
      <c r="AF58" t="str">
        <f t="shared" si="4"/>
        <v>'56',</v>
      </c>
      <c r="AG58" t="str">
        <f t="shared" si="5"/>
        <v>'Cresterea plantelor incetineste.'),</v>
      </c>
      <c r="AL58" s="25">
        <v>4.0999999999999996</v>
      </c>
      <c r="AM58" s="25">
        <v>6.13</v>
      </c>
      <c r="AX58">
        <v>156</v>
      </c>
      <c r="AY58" t="s">
        <v>131</v>
      </c>
      <c r="AZ58" t="s">
        <v>132</v>
      </c>
      <c r="BA58" s="22">
        <v>0.41</v>
      </c>
      <c r="BB58" s="22">
        <v>0.6</v>
      </c>
      <c r="BD58">
        <v>56</v>
      </c>
      <c r="BE58" t="s">
        <v>133</v>
      </c>
    </row>
    <row r="59" spans="19:57" x14ac:dyDescent="0.35">
      <c r="S59">
        <v>15</v>
      </c>
      <c r="T59" t="s">
        <v>16</v>
      </c>
      <c r="U59">
        <v>1</v>
      </c>
      <c r="Y59" t="str">
        <f t="shared" si="0"/>
        <v>('157',</v>
      </c>
      <c r="Z59" t="str">
        <f t="shared" si="1"/>
        <v>'32°C',</v>
      </c>
      <c r="AA59" t="str">
        <f t="shared" si="1"/>
        <v>'37.9°C',</v>
      </c>
      <c r="AB59" s="22" t="str">
        <f t="shared" si="2"/>
        <v>'41%',</v>
      </c>
      <c r="AC59" s="22" t="str">
        <f t="shared" si="2"/>
        <v>'60%',</v>
      </c>
      <c r="AD59" s="28" t="str">
        <f t="shared" si="3"/>
        <v>'614',</v>
      </c>
      <c r="AE59" s="28" t="str">
        <f t="shared" si="3"/>
        <v>'818',</v>
      </c>
      <c r="AF59" t="str">
        <f t="shared" si="4"/>
        <v>'57',</v>
      </c>
      <c r="AG59" t="str">
        <f t="shared" si="5"/>
        <v>'Cresterea plantelor incetineste.'),</v>
      </c>
      <c r="AL59" s="25">
        <v>6.14</v>
      </c>
      <c r="AM59" s="25">
        <v>8.18</v>
      </c>
      <c r="AX59">
        <v>157</v>
      </c>
      <c r="AY59" t="s">
        <v>131</v>
      </c>
      <c r="AZ59" t="s">
        <v>132</v>
      </c>
      <c r="BA59" s="22">
        <v>0.41</v>
      </c>
      <c r="BB59" s="22">
        <v>0.6</v>
      </c>
      <c r="BD59">
        <v>57</v>
      </c>
      <c r="BE59" t="s">
        <v>133</v>
      </c>
    </row>
    <row r="60" spans="19:57" x14ac:dyDescent="0.35">
      <c r="S60">
        <v>150</v>
      </c>
      <c r="T60" t="s">
        <v>77</v>
      </c>
      <c r="U60">
        <v>2</v>
      </c>
      <c r="Y60" t="str">
        <f t="shared" si="0"/>
        <v>('158',</v>
      </c>
      <c r="Z60" t="str">
        <f t="shared" si="1"/>
        <v>'32°C',</v>
      </c>
      <c r="AA60" t="str">
        <f t="shared" si="1"/>
        <v>'37.9°C',</v>
      </c>
      <c r="AB60" s="22" t="str">
        <f t="shared" si="2"/>
        <v>'41%',</v>
      </c>
      <c r="AC60" s="22" t="str">
        <f t="shared" si="2"/>
        <v>'60%',</v>
      </c>
      <c r="AD60" s="28" t="str">
        <f t="shared" si="3"/>
        <v>'410',</v>
      </c>
      <c r="AE60" s="28" t="str">
        <f t="shared" si="3"/>
        <v>'613',</v>
      </c>
      <c r="AF60" t="str">
        <f t="shared" si="4"/>
        <v>'58',</v>
      </c>
      <c r="AG60" t="str">
        <f t="shared" si="5"/>
        <v>'Cresterea plantelor incetineste.'),</v>
      </c>
      <c r="AL60" s="25">
        <v>4.0999999999999996</v>
      </c>
      <c r="AM60" s="25">
        <v>6.13</v>
      </c>
      <c r="AX60">
        <v>158</v>
      </c>
      <c r="AY60" t="s">
        <v>131</v>
      </c>
      <c r="AZ60" t="s">
        <v>132</v>
      </c>
      <c r="BA60" s="22">
        <v>0.41</v>
      </c>
      <c r="BB60" s="22">
        <v>0.6</v>
      </c>
      <c r="BD60">
        <v>58</v>
      </c>
      <c r="BE60" t="s">
        <v>133</v>
      </c>
    </row>
    <row r="61" spans="19:57" x14ac:dyDescent="0.35">
      <c r="S61">
        <v>151</v>
      </c>
      <c r="T61" t="s">
        <v>117</v>
      </c>
      <c r="U61">
        <v>2</v>
      </c>
      <c r="Y61" t="str">
        <f t="shared" si="0"/>
        <v>('159',</v>
      </c>
      <c r="Z61" t="str">
        <f t="shared" si="1"/>
        <v>'32°C',</v>
      </c>
      <c r="AA61" t="str">
        <f t="shared" si="1"/>
        <v>'37.9°C',</v>
      </c>
      <c r="AB61" s="22" t="str">
        <f t="shared" si="2"/>
        <v>'41%',</v>
      </c>
      <c r="AC61" s="22" t="str">
        <f t="shared" si="2"/>
        <v>'60%',</v>
      </c>
      <c r="AD61" s="28" t="str">
        <f t="shared" si="3"/>
        <v>'410',</v>
      </c>
      <c r="AE61" s="28" t="str">
        <f t="shared" si="3"/>
        <v>'613',</v>
      </c>
      <c r="AF61" t="str">
        <f t="shared" si="4"/>
        <v>'59',</v>
      </c>
      <c r="AG61" t="str">
        <f t="shared" si="5"/>
        <v>'Cresterea plantelor incetineste.'),</v>
      </c>
      <c r="AL61" s="25">
        <v>4.0999999999999996</v>
      </c>
      <c r="AM61" s="25">
        <v>6.13</v>
      </c>
      <c r="AX61">
        <v>159</v>
      </c>
      <c r="AY61" t="s">
        <v>131</v>
      </c>
      <c r="AZ61" t="s">
        <v>132</v>
      </c>
      <c r="BA61" s="22">
        <v>0.41</v>
      </c>
      <c r="BB61" s="22">
        <v>0.6</v>
      </c>
      <c r="BD61">
        <v>59</v>
      </c>
      <c r="BE61" t="s">
        <v>133</v>
      </c>
    </row>
    <row r="62" spans="19:57" x14ac:dyDescent="0.35">
      <c r="S62">
        <v>152</v>
      </c>
      <c r="T62" t="s">
        <v>22</v>
      </c>
      <c r="U62">
        <v>2</v>
      </c>
      <c r="Y62" t="str">
        <f t="shared" si="0"/>
        <v>('160',</v>
      </c>
      <c r="Z62" t="str">
        <f t="shared" si="1"/>
        <v>'32°C',</v>
      </c>
      <c r="AA62" t="str">
        <f t="shared" si="1"/>
        <v>'37.9°C',</v>
      </c>
      <c r="AB62" s="22" t="str">
        <f t="shared" si="2"/>
        <v>'21%',</v>
      </c>
      <c r="AC62" s="22" t="str">
        <f t="shared" si="2"/>
        <v>'60%',</v>
      </c>
      <c r="AD62" s="28" t="str">
        <f t="shared" si="3"/>
        <v>'410',</v>
      </c>
      <c r="AE62" s="28" t="str">
        <f t="shared" si="3"/>
        <v>'613',</v>
      </c>
      <c r="AF62" t="str">
        <f t="shared" si="4"/>
        <v>'60',</v>
      </c>
      <c r="AG62" t="str">
        <f t="shared" si="5"/>
        <v>'Cresterea plantelor incetineste.'),</v>
      </c>
      <c r="AL62" s="25">
        <v>4.0999999999999996</v>
      </c>
      <c r="AM62" s="25">
        <v>6.13</v>
      </c>
      <c r="AX62">
        <v>160</v>
      </c>
      <c r="AY62" t="s">
        <v>131</v>
      </c>
      <c r="AZ62" t="s">
        <v>132</v>
      </c>
      <c r="BA62" s="22">
        <v>0.21</v>
      </c>
      <c r="BB62" s="22">
        <v>0.6</v>
      </c>
      <c r="BD62">
        <v>60</v>
      </c>
      <c r="BE62" t="s">
        <v>133</v>
      </c>
    </row>
    <row r="63" spans="19:57" x14ac:dyDescent="0.35">
      <c r="S63">
        <v>153</v>
      </c>
      <c r="T63" t="s">
        <v>15</v>
      </c>
      <c r="U63">
        <v>2</v>
      </c>
      <c r="Y63" t="str">
        <f t="shared" si="0"/>
        <v>('161',</v>
      </c>
      <c r="Z63" t="str">
        <f t="shared" si="1"/>
        <v>'32°C',</v>
      </c>
      <c r="AA63" t="str">
        <f t="shared" si="1"/>
        <v>'37.9°C',</v>
      </c>
      <c r="AB63" s="22" t="str">
        <f t="shared" si="2"/>
        <v>'41%',</v>
      </c>
      <c r="AC63" s="22" t="str">
        <f t="shared" si="2"/>
        <v>'60%',</v>
      </c>
      <c r="AD63" s="28" t="str">
        <f t="shared" si="3"/>
        <v>'205',</v>
      </c>
      <c r="AE63" s="28" t="str">
        <f t="shared" si="3"/>
        <v>'409',</v>
      </c>
      <c r="AF63" t="str">
        <f t="shared" si="4"/>
        <v>'61',</v>
      </c>
      <c r="AG63" t="str">
        <f t="shared" si="5"/>
        <v>'Cresterea plantelor incetineste.'),</v>
      </c>
      <c r="AL63" s="25">
        <v>2.0499999999999998</v>
      </c>
      <c r="AM63" s="25">
        <v>4.09</v>
      </c>
      <c r="AX63">
        <v>161</v>
      </c>
      <c r="AY63" t="s">
        <v>131</v>
      </c>
      <c r="AZ63" t="s">
        <v>132</v>
      </c>
      <c r="BA63" s="22">
        <v>0.41</v>
      </c>
      <c r="BB63" s="22">
        <v>0.6</v>
      </c>
      <c r="BD63">
        <v>61</v>
      </c>
      <c r="BE63" t="s">
        <v>133</v>
      </c>
    </row>
    <row r="64" spans="19:57" x14ac:dyDescent="0.35">
      <c r="S64">
        <v>154</v>
      </c>
      <c r="T64" t="s">
        <v>74</v>
      </c>
      <c r="U64">
        <v>2</v>
      </c>
      <c r="Y64" t="str">
        <f t="shared" si="0"/>
        <v>('162',</v>
      </c>
      <c r="Z64" t="str">
        <f t="shared" si="1"/>
        <v>'32°C',</v>
      </c>
      <c r="AA64" t="str">
        <f t="shared" si="1"/>
        <v>'37.9°C',</v>
      </c>
      <c r="AB64" s="22" t="str">
        <f t="shared" si="2"/>
        <v>'41%',</v>
      </c>
      <c r="AC64" s="22" t="str">
        <f t="shared" si="2"/>
        <v>'60%',</v>
      </c>
      <c r="AD64" s="28" t="str">
        <f t="shared" si="3"/>
        <v>'205',</v>
      </c>
      <c r="AE64" s="28" t="str">
        <f t="shared" si="3"/>
        <v>'409',</v>
      </c>
      <c r="AF64" t="str">
        <f t="shared" si="4"/>
        <v>'62',</v>
      </c>
      <c r="AG64" t="str">
        <f t="shared" si="5"/>
        <v>'Cresterea plantelor incetineste.'),</v>
      </c>
      <c r="AL64" s="25">
        <v>2.0499999999999998</v>
      </c>
      <c r="AM64" s="25">
        <v>4.09</v>
      </c>
      <c r="AX64">
        <v>162</v>
      </c>
      <c r="AY64" t="s">
        <v>131</v>
      </c>
      <c r="AZ64" t="s">
        <v>132</v>
      </c>
      <c r="BA64" s="22">
        <v>0.41</v>
      </c>
      <c r="BB64" s="22">
        <v>0.6</v>
      </c>
      <c r="BD64">
        <v>62</v>
      </c>
      <c r="BE64" t="s">
        <v>133</v>
      </c>
    </row>
    <row r="65" spans="19:57" x14ac:dyDescent="0.35">
      <c r="S65">
        <v>155</v>
      </c>
      <c r="T65" t="s">
        <v>75</v>
      </c>
      <c r="U65">
        <v>2</v>
      </c>
      <c r="Y65" t="str">
        <f t="shared" si="0"/>
        <v>('163',</v>
      </c>
      <c r="Z65" t="str">
        <f t="shared" si="1"/>
        <v>'32°C',</v>
      </c>
      <c r="AA65" t="str">
        <f t="shared" si="1"/>
        <v>'37.9°C',</v>
      </c>
      <c r="AB65" s="22" t="str">
        <f t="shared" si="2"/>
        <v>'41%',</v>
      </c>
      <c r="AC65" s="22" t="str">
        <f t="shared" si="2"/>
        <v>'60%',</v>
      </c>
      <c r="AD65" s="28" t="str">
        <f t="shared" si="3"/>
        <v>'205',</v>
      </c>
      <c r="AE65" s="28" t="str">
        <f t="shared" si="3"/>
        <v>'409',</v>
      </c>
      <c r="AF65" t="str">
        <f t="shared" si="4"/>
        <v>'63',</v>
      </c>
      <c r="AG65" t="str">
        <f t="shared" si="5"/>
        <v>'Cresterea plantelor incetineste.'),</v>
      </c>
      <c r="AL65" s="25">
        <v>2.0499999999999998</v>
      </c>
      <c r="AM65" s="25">
        <v>4.09</v>
      </c>
      <c r="AX65">
        <v>163</v>
      </c>
      <c r="AY65" t="s">
        <v>131</v>
      </c>
      <c r="AZ65" t="s">
        <v>132</v>
      </c>
      <c r="BA65" s="22">
        <v>0.41</v>
      </c>
      <c r="BB65" s="22">
        <v>0.6</v>
      </c>
      <c r="BD65">
        <v>63</v>
      </c>
      <c r="BE65" t="s">
        <v>133</v>
      </c>
    </row>
    <row r="66" spans="19:57" x14ac:dyDescent="0.35">
      <c r="S66">
        <v>156</v>
      </c>
      <c r="T66" t="s">
        <v>19</v>
      </c>
      <c r="U66">
        <v>2</v>
      </c>
      <c r="Y66" t="str">
        <f t="shared" si="0"/>
        <v>('164',</v>
      </c>
      <c r="Z66" t="str">
        <f t="shared" si="1"/>
        <v>'32°C',</v>
      </c>
      <c r="AA66" t="str">
        <f t="shared" si="1"/>
        <v>'37.9°C',</v>
      </c>
      <c r="AB66" s="22" t="str">
        <f t="shared" si="2"/>
        <v>'41%',</v>
      </c>
      <c r="AC66" s="22" t="str">
        <f t="shared" si="2"/>
        <v>'60%',</v>
      </c>
      <c r="AD66" s="28" t="str">
        <f t="shared" si="3"/>
        <v>'205',</v>
      </c>
      <c r="AE66" s="28" t="str">
        <f t="shared" si="3"/>
        <v>'409',</v>
      </c>
      <c r="AF66" t="str">
        <f t="shared" si="4"/>
        <v>'64',</v>
      </c>
      <c r="AG66" t="str">
        <f t="shared" si="5"/>
        <v>'Cresterea plantelor incetineste.'),</v>
      </c>
      <c r="AL66" s="25">
        <v>2.0499999999999998</v>
      </c>
      <c r="AM66" s="25">
        <v>4.09</v>
      </c>
      <c r="AX66">
        <v>164</v>
      </c>
      <c r="AY66" t="s">
        <v>131</v>
      </c>
      <c r="AZ66" t="s">
        <v>132</v>
      </c>
      <c r="BA66" s="22">
        <v>0.41</v>
      </c>
      <c r="BB66" s="22">
        <v>0.6</v>
      </c>
      <c r="BD66">
        <v>64</v>
      </c>
      <c r="BE66" t="s">
        <v>133</v>
      </c>
    </row>
    <row r="67" spans="19:57" x14ac:dyDescent="0.35">
      <c r="S67">
        <v>157</v>
      </c>
      <c r="T67" t="s">
        <v>76</v>
      </c>
      <c r="U67">
        <v>2</v>
      </c>
      <c r="Y67" t="str">
        <f t="shared" si="0"/>
        <v>('165',</v>
      </c>
      <c r="Z67" t="str">
        <f t="shared" si="1"/>
        <v>'32°C',</v>
      </c>
      <c r="AA67" t="str">
        <f t="shared" si="1"/>
        <v>'37.9°C',</v>
      </c>
      <c r="AB67" s="22" t="str">
        <f t="shared" si="2"/>
        <v>'41%',</v>
      </c>
      <c r="AC67" s="22" t="str">
        <f t="shared" si="2"/>
        <v>'60%',</v>
      </c>
      <c r="AD67" s="28" t="str">
        <f t="shared" si="3"/>
        <v>'205',</v>
      </c>
      <c r="AE67" s="28" t="str">
        <f t="shared" si="3"/>
        <v>'409',</v>
      </c>
      <c r="AF67" t="str">
        <f t="shared" si="4"/>
        <v>'65',</v>
      </c>
      <c r="AG67" t="str">
        <f t="shared" si="5"/>
        <v>'Cresterea plantelor incetineste.'),</v>
      </c>
      <c r="AL67" s="25">
        <v>2.0499999999999998</v>
      </c>
      <c r="AM67" s="25">
        <v>4.09</v>
      </c>
      <c r="AX67">
        <v>165</v>
      </c>
      <c r="AY67" t="s">
        <v>131</v>
      </c>
      <c r="AZ67" t="s">
        <v>132</v>
      </c>
      <c r="BA67" s="22">
        <v>0.41</v>
      </c>
      <c r="BB67" s="22">
        <v>0.6</v>
      </c>
      <c r="BD67">
        <v>65</v>
      </c>
      <c r="BE67" t="s">
        <v>133</v>
      </c>
    </row>
    <row r="68" spans="19:57" x14ac:dyDescent="0.35">
      <c r="S68">
        <v>158</v>
      </c>
      <c r="T68" t="s">
        <v>77</v>
      </c>
      <c r="U68">
        <v>2</v>
      </c>
      <c r="Y68" t="str">
        <f t="shared" ref="Y68:Y131" si="6" xml:space="preserve"> "("&amp;"'"&amp;AX68 &amp;"'"&amp;","</f>
        <v>('166',</v>
      </c>
      <c r="Z68" t="str">
        <f t="shared" ref="Z68:AA131" si="7" xml:space="preserve"> "'"&amp;AY68&amp;"'"&amp;","</f>
        <v>'32°C',</v>
      </c>
      <c r="AA68" t="str">
        <f t="shared" si="7"/>
        <v>'37.9°C',</v>
      </c>
      <c r="AB68" s="22" t="str">
        <f t="shared" ref="AB68:AC131" si="8" xml:space="preserve"> "'"&amp;BA68*100&amp;"%"&amp;"'"&amp;","</f>
        <v>'41%',</v>
      </c>
      <c r="AC68" s="22" t="str">
        <f t="shared" si="8"/>
        <v>'60%',</v>
      </c>
      <c r="AD68" s="28" t="str">
        <f t="shared" ref="AD68:AE131" si="9" xml:space="preserve"> "'"&amp;AL68 *100&amp;"'"&amp;","</f>
        <v>'205',</v>
      </c>
      <c r="AE68" s="28" t="str">
        <f t="shared" si="9"/>
        <v>'409',</v>
      </c>
      <c r="AF68" t="str">
        <f t="shared" ref="AF68:AF131" si="10" xml:space="preserve"> "'"&amp;BD68&amp;"'"&amp;","</f>
        <v>'66',</v>
      </c>
      <c r="AG68" t="str">
        <f t="shared" ref="AG68:AG131" si="11" xml:space="preserve"> "'"&amp;BE68&amp;"'"&amp;")"&amp;","</f>
        <v>'Cresterea plantelor incetineste.'),</v>
      </c>
      <c r="AL68" s="25">
        <v>2.0499999999999998</v>
      </c>
      <c r="AM68" s="25">
        <v>4.09</v>
      </c>
      <c r="AX68">
        <v>166</v>
      </c>
      <c r="AY68" t="s">
        <v>131</v>
      </c>
      <c r="AZ68" t="s">
        <v>132</v>
      </c>
      <c r="BA68" s="22">
        <v>0.41</v>
      </c>
      <c r="BB68" s="22">
        <v>0.6</v>
      </c>
      <c r="BD68">
        <v>66</v>
      </c>
      <c r="BE68" t="s">
        <v>133</v>
      </c>
    </row>
    <row r="69" spans="19:57" x14ac:dyDescent="0.35">
      <c r="S69">
        <v>159</v>
      </c>
      <c r="T69" t="s">
        <v>22</v>
      </c>
      <c r="U69">
        <v>2</v>
      </c>
      <c r="Y69" t="str">
        <f t="shared" si="6"/>
        <v>('167',</v>
      </c>
      <c r="Z69" t="str">
        <f t="shared" si="7"/>
        <v>'32°C',</v>
      </c>
      <c r="AA69" t="str">
        <f t="shared" si="7"/>
        <v>'37.9°C',</v>
      </c>
      <c r="AB69" s="22" t="str">
        <f t="shared" si="8"/>
        <v>'41%',</v>
      </c>
      <c r="AC69" s="22" t="str">
        <f t="shared" si="8"/>
        <v>'60%',</v>
      </c>
      <c r="AD69" s="28" t="str">
        <f t="shared" si="9"/>
        <v>'205',</v>
      </c>
      <c r="AE69" s="28" t="str">
        <f t="shared" si="9"/>
        <v>'409',</v>
      </c>
      <c r="AF69" t="str">
        <f t="shared" si="10"/>
        <v>'67',</v>
      </c>
      <c r="AG69" t="str">
        <f t="shared" si="11"/>
        <v>'Cresterea plantelor incetineste.'),</v>
      </c>
      <c r="AL69" s="25">
        <v>2.0499999999999998</v>
      </c>
      <c r="AM69" s="25">
        <v>4.09</v>
      </c>
      <c r="AX69">
        <v>167</v>
      </c>
      <c r="AY69" t="s">
        <v>131</v>
      </c>
      <c r="AZ69" t="s">
        <v>132</v>
      </c>
      <c r="BA69" s="22">
        <v>0.41</v>
      </c>
      <c r="BB69" s="22">
        <v>0.6</v>
      </c>
      <c r="BD69">
        <v>67</v>
      </c>
      <c r="BE69" t="s">
        <v>133</v>
      </c>
    </row>
    <row r="70" spans="19:57" x14ac:dyDescent="0.35">
      <c r="S70">
        <v>16</v>
      </c>
      <c r="T70" t="s">
        <v>18</v>
      </c>
      <c r="U70">
        <v>1</v>
      </c>
      <c r="Y70" t="str">
        <f t="shared" si="6"/>
        <v>('168',</v>
      </c>
      <c r="Z70" t="str">
        <f t="shared" si="7"/>
        <v>'32°C',</v>
      </c>
      <c r="AA70" t="str">
        <f t="shared" si="7"/>
        <v>'37.9°C',</v>
      </c>
      <c r="AB70" s="22" t="str">
        <f t="shared" si="8"/>
        <v>'41%',</v>
      </c>
      <c r="AC70" s="22" t="str">
        <f t="shared" si="8"/>
        <v>'60%',</v>
      </c>
      <c r="AD70" s="28" t="str">
        <f t="shared" si="9"/>
        <v>'614',</v>
      </c>
      <c r="AE70" s="28" t="str">
        <f t="shared" si="9"/>
        <v>'818',</v>
      </c>
      <c r="AF70" t="str">
        <f t="shared" si="10"/>
        <v>'68',</v>
      </c>
      <c r="AG70" t="str">
        <f t="shared" si="11"/>
        <v>'Cresterea plantelor incetineste.'),</v>
      </c>
      <c r="AL70" s="25">
        <v>6.14</v>
      </c>
      <c r="AM70" s="25">
        <v>8.18</v>
      </c>
      <c r="AX70">
        <v>168</v>
      </c>
      <c r="AY70" t="s">
        <v>131</v>
      </c>
      <c r="AZ70" t="s">
        <v>132</v>
      </c>
      <c r="BA70" s="22">
        <v>0.41</v>
      </c>
      <c r="BB70" s="22">
        <v>0.6</v>
      </c>
      <c r="BD70">
        <v>68</v>
      </c>
      <c r="BE70" t="s">
        <v>133</v>
      </c>
    </row>
    <row r="71" spans="19:57" x14ac:dyDescent="0.35">
      <c r="S71">
        <v>160</v>
      </c>
      <c r="T71" t="s">
        <v>23</v>
      </c>
      <c r="U71">
        <v>3</v>
      </c>
      <c r="Y71" t="str">
        <f t="shared" si="6"/>
        <v>('169',</v>
      </c>
      <c r="Z71" t="str">
        <f t="shared" si="7"/>
        <v>'32°C',</v>
      </c>
      <c r="AA71" t="str">
        <f t="shared" si="7"/>
        <v>'37.9°C',</v>
      </c>
      <c r="AB71" s="22" t="str">
        <f t="shared" si="8"/>
        <v>'21%',</v>
      </c>
      <c r="AC71" s="22" t="str">
        <f t="shared" si="8"/>
        <v>'60%',</v>
      </c>
      <c r="AD71" s="28" t="str">
        <f t="shared" si="9"/>
        <v>'614',</v>
      </c>
      <c r="AE71" s="28" t="str">
        <f t="shared" si="9"/>
        <v>'818',</v>
      </c>
      <c r="AF71" t="str">
        <f t="shared" si="10"/>
        <v>'69',</v>
      </c>
      <c r="AG71" t="str">
        <f t="shared" si="11"/>
        <v>'Cresterea plantelor incetineste.'),</v>
      </c>
      <c r="AL71" s="25">
        <v>6.14</v>
      </c>
      <c r="AM71" s="25">
        <v>8.18</v>
      </c>
      <c r="AX71">
        <v>169</v>
      </c>
      <c r="AY71" t="s">
        <v>131</v>
      </c>
      <c r="AZ71" t="s">
        <v>132</v>
      </c>
      <c r="BA71" s="22">
        <v>0.21</v>
      </c>
      <c r="BB71" s="22">
        <v>0.6</v>
      </c>
      <c r="BD71">
        <v>69</v>
      </c>
      <c r="BE71" t="s">
        <v>133</v>
      </c>
    </row>
    <row r="72" spans="19:57" x14ac:dyDescent="0.35">
      <c r="S72">
        <v>161</v>
      </c>
      <c r="T72" t="s">
        <v>24</v>
      </c>
      <c r="U72">
        <v>3</v>
      </c>
      <c r="Y72" t="str">
        <f t="shared" si="6"/>
        <v>('170',</v>
      </c>
      <c r="Z72" t="str">
        <f t="shared" si="7"/>
        <v>'32°C',</v>
      </c>
      <c r="AA72" t="str">
        <f t="shared" si="7"/>
        <v>'37.9°C',</v>
      </c>
      <c r="AB72" s="22" t="str">
        <f t="shared" si="8"/>
        <v>'41%',</v>
      </c>
      <c r="AC72" s="22" t="str">
        <f t="shared" si="8"/>
        <v>'60%',</v>
      </c>
      <c r="AD72" s="28" t="str">
        <f t="shared" si="9"/>
        <v>'614',</v>
      </c>
      <c r="AE72" s="28" t="str">
        <f t="shared" si="9"/>
        <v>'818',</v>
      </c>
      <c r="AF72" t="str">
        <f t="shared" si="10"/>
        <v>'70',</v>
      </c>
      <c r="AG72" t="str">
        <f t="shared" si="11"/>
        <v>'Cresterea plantelor incetineste.'),</v>
      </c>
      <c r="AL72" s="25">
        <v>6.14</v>
      </c>
      <c r="AM72" s="25">
        <v>8.18</v>
      </c>
      <c r="AX72">
        <v>170</v>
      </c>
      <c r="AY72" t="s">
        <v>131</v>
      </c>
      <c r="AZ72" t="s">
        <v>132</v>
      </c>
      <c r="BA72" s="22">
        <v>0.41</v>
      </c>
      <c r="BB72" s="22">
        <v>0.6</v>
      </c>
      <c r="BD72">
        <v>70</v>
      </c>
      <c r="BE72" t="s">
        <v>133</v>
      </c>
    </row>
    <row r="73" spans="19:57" x14ac:dyDescent="0.35">
      <c r="S73">
        <v>162</v>
      </c>
      <c r="T73" t="s">
        <v>25</v>
      </c>
      <c r="U73">
        <v>3</v>
      </c>
      <c r="Y73" t="str">
        <f t="shared" si="6"/>
        <v>('171',</v>
      </c>
      <c r="Z73" t="str">
        <f t="shared" si="7"/>
        <v>'32°C',</v>
      </c>
      <c r="AA73" t="str">
        <f t="shared" si="7"/>
        <v>'37.9°C',</v>
      </c>
      <c r="AB73" s="22" t="str">
        <f t="shared" si="8"/>
        <v>'21%',</v>
      </c>
      <c r="AC73" s="22" t="str">
        <f t="shared" si="8"/>
        <v>'60%',</v>
      </c>
      <c r="AD73" s="28" t="str">
        <f t="shared" si="9"/>
        <v>'614',</v>
      </c>
      <c r="AE73" s="28" t="str">
        <f t="shared" si="9"/>
        <v>'818',</v>
      </c>
      <c r="AF73" t="str">
        <f t="shared" si="10"/>
        <v>'71',</v>
      </c>
      <c r="AG73" t="str">
        <f t="shared" si="11"/>
        <v>'Cresterea plantelor incetineste.'),</v>
      </c>
      <c r="AL73" s="25">
        <v>6.14</v>
      </c>
      <c r="AM73" s="25">
        <v>8.18</v>
      </c>
      <c r="AX73">
        <v>171</v>
      </c>
      <c r="AY73" t="s">
        <v>131</v>
      </c>
      <c r="AZ73" t="s">
        <v>132</v>
      </c>
      <c r="BA73" s="22">
        <v>0.21</v>
      </c>
      <c r="BB73" s="22">
        <v>0.6</v>
      </c>
      <c r="BD73">
        <v>71</v>
      </c>
      <c r="BE73" t="s">
        <v>133</v>
      </c>
    </row>
    <row r="74" spans="19:57" x14ac:dyDescent="0.35">
      <c r="S74">
        <v>163</v>
      </c>
      <c r="T74" t="s">
        <v>26</v>
      </c>
      <c r="U74">
        <v>3</v>
      </c>
      <c r="Y74" t="str">
        <f t="shared" si="6"/>
        <v>('172',</v>
      </c>
      <c r="Z74" t="str">
        <f t="shared" si="7"/>
        <v>'32°C',</v>
      </c>
      <c r="AA74" t="str">
        <f t="shared" si="7"/>
        <v>'37.9°C',</v>
      </c>
      <c r="AB74" s="22" t="str">
        <f t="shared" si="8"/>
        <v>'41%',</v>
      </c>
      <c r="AC74" s="22" t="str">
        <f t="shared" si="8"/>
        <v>'60%',</v>
      </c>
      <c r="AD74" s="28" t="str">
        <f t="shared" si="9"/>
        <v>'614',</v>
      </c>
      <c r="AE74" s="28" t="str">
        <f t="shared" si="9"/>
        <v>'818',</v>
      </c>
      <c r="AF74" t="str">
        <f t="shared" si="10"/>
        <v>'72',</v>
      </c>
      <c r="AG74" t="str">
        <f t="shared" si="11"/>
        <v>'Cresterea plantelor incetineste.'),</v>
      </c>
      <c r="AL74" s="25">
        <v>6.14</v>
      </c>
      <c r="AM74" s="25">
        <v>8.18</v>
      </c>
      <c r="AX74">
        <v>172</v>
      </c>
      <c r="AY74" t="s">
        <v>131</v>
      </c>
      <c r="AZ74" t="s">
        <v>132</v>
      </c>
      <c r="BA74" s="22">
        <v>0.41</v>
      </c>
      <c r="BB74" s="22">
        <v>0.6</v>
      </c>
      <c r="BD74">
        <v>72</v>
      </c>
      <c r="BE74" t="s">
        <v>133</v>
      </c>
    </row>
    <row r="75" spans="19:57" x14ac:dyDescent="0.35">
      <c r="S75">
        <v>164</v>
      </c>
      <c r="T75" t="s">
        <v>27</v>
      </c>
      <c r="U75">
        <v>3</v>
      </c>
      <c r="Y75" t="str">
        <f t="shared" si="6"/>
        <v>('173',</v>
      </c>
      <c r="Z75" t="str">
        <f t="shared" si="7"/>
        <v>'32°C',</v>
      </c>
      <c r="AA75" t="str">
        <f t="shared" si="7"/>
        <v>'37.9°C',</v>
      </c>
      <c r="AB75" s="22" t="str">
        <f t="shared" si="8"/>
        <v>'41%',</v>
      </c>
      <c r="AC75" s="22" t="str">
        <f t="shared" si="8"/>
        <v>'60%',</v>
      </c>
      <c r="AD75" s="28" t="str">
        <f t="shared" si="9"/>
        <v>'614',</v>
      </c>
      <c r="AE75" s="28" t="str">
        <f t="shared" si="9"/>
        <v>'818',</v>
      </c>
      <c r="AF75" t="str">
        <f t="shared" si="10"/>
        <v>'73',</v>
      </c>
      <c r="AG75" t="str">
        <f t="shared" si="11"/>
        <v>'Cresterea plantelor incetineste.'),</v>
      </c>
      <c r="AL75" s="25">
        <v>6.14</v>
      </c>
      <c r="AM75" s="25">
        <v>8.18</v>
      </c>
      <c r="AX75">
        <v>173</v>
      </c>
      <c r="AY75" t="s">
        <v>131</v>
      </c>
      <c r="AZ75" t="s">
        <v>132</v>
      </c>
      <c r="BA75" s="22">
        <v>0.41</v>
      </c>
      <c r="BB75" s="22">
        <v>0.6</v>
      </c>
      <c r="BD75">
        <v>73</v>
      </c>
      <c r="BE75" t="s">
        <v>133</v>
      </c>
    </row>
    <row r="76" spans="19:57" x14ac:dyDescent="0.35">
      <c r="S76">
        <v>165</v>
      </c>
      <c r="T76" t="s">
        <v>28</v>
      </c>
      <c r="U76">
        <v>3</v>
      </c>
      <c r="Y76" t="str">
        <f t="shared" si="6"/>
        <v>('174',</v>
      </c>
      <c r="Z76" t="str">
        <f t="shared" si="7"/>
        <v>'32°C',</v>
      </c>
      <c r="AA76" t="str">
        <f t="shared" si="7"/>
        <v>'37.9°C',</v>
      </c>
      <c r="AB76" s="22" t="str">
        <f t="shared" si="8"/>
        <v>'41%',</v>
      </c>
      <c r="AC76" s="22" t="str">
        <f t="shared" si="8"/>
        <v>'60%',</v>
      </c>
      <c r="AD76" s="28" t="str">
        <f t="shared" si="9"/>
        <v>'614',</v>
      </c>
      <c r="AE76" s="28" t="str">
        <f t="shared" si="9"/>
        <v>'818',</v>
      </c>
      <c r="AF76" t="str">
        <f t="shared" si="10"/>
        <v>'74',</v>
      </c>
      <c r="AG76" t="str">
        <f t="shared" si="11"/>
        <v>'Cresterea plantelor incetineste.'),</v>
      </c>
      <c r="AL76" s="25">
        <v>6.14</v>
      </c>
      <c r="AM76" s="25">
        <v>8.18</v>
      </c>
      <c r="AX76">
        <v>174</v>
      </c>
      <c r="AY76" t="s">
        <v>131</v>
      </c>
      <c r="AZ76" t="s">
        <v>132</v>
      </c>
      <c r="BA76" s="22">
        <v>0.41</v>
      </c>
      <c r="BB76" s="22">
        <v>0.6</v>
      </c>
      <c r="BD76">
        <v>74</v>
      </c>
      <c r="BE76" t="s">
        <v>133</v>
      </c>
    </row>
    <row r="77" spans="19:57" x14ac:dyDescent="0.35">
      <c r="S77">
        <v>166</v>
      </c>
      <c r="T77" t="s">
        <v>121</v>
      </c>
      <c r="U77">
        <v>3</v>
      </c>
      <c r="Y77" t="str">
        <f t="shared" si="6"/>
        <v>('175',</v>
      </c>
      <c r="Z77" t="str">
        <f t="shared" si="7"/>
        <v>'32°C',</v>
      </c>
      <c r="AA77" t="str">
        <f t="shared" si="7"/>
        <v>'37.9°C',</v>
      </c>
      <c r="AB77" s="22" t="str">
        <f t="shared" si="8"/>
        <v>'21%',</v>
      </c>
      <c r="AC77" s="22" t="str">
        <f t="shared" si="8"/>
        <v>'60%',</v>
      </c>
      <c r="AD77" s="28" t="str">
        <f t="shared" si="9"/>
        <v>'614',</v>
      </c>
      <c r="AE77" s="28" t="str">
        <f t="shared" si="9"/>
        <v>'818',</v>
      </c>
      <c r="AF77" t="str">
        <f t="shared" si="10"/>
        <v>'75',</v>
      </c>
      <c r="AG77" t="str">
        <f t="shared" si="11"/>
        <v>'Cresterea plantelor incetineste.'),</v>
      </c>
      <c r="AL77" s="25">
        <v>6.14</v>
      </c>
      <c r="AM77" s="25">
        <v>8.18</v>
      </c>
      <c r="AX77">
        <v>175</v>
      </c>
      <c r="AY77" t="s">
        <v>131</v>
      </c>
      <c r="AZ77" t="s">
        <v>132</v>
      </c>
      <c r="BA77" s="22">
        <v>0.21</v>
      </c>
      <c r="BB77" s="22">
        <v>0.6</v>
      </c>
      <c r="BD77">
        <v>75</v>
      </c>
      <c r="BE77" t="s">
        <v>133</v>
      </c>
    </row>
    <row r="78" spans="19:57" x14ac:dyDescent="0.35">
      <c r="S78">
        <v>167</v>
      </c>
      <c r="T78" t="s">
        <v>30</v>
      </c>
      <c r="U78">
        <v>3</v>
      </c>
      <c r="Y78" t="str">
        <f t="shared" si="6"/>
        <v>('176',</v>
      </c>
      <c r="Z78" t="str">
        <f t="shared" si="7"/>
        <v>'32°C',</v>
      </c>
      <c r="AA78" t="str">
        <f t="shared" si="7"/>
        <v>'37.9°C',</v>
      </c>
      <c r="AB78" s="22" t="str">
        <f t="shared" si="8"/>
        <v>'41%',</v>
      </c>
      <c r="AC78" s="22" t="str">
        <f t="shared" si="8"/>
        <v>'60%',</v>
      </c>
      <c r="AD78" s="28" t="str">
        <f t="shared" si="9"/>
        <v>'614',</v>
      </c>
      <c r="AE78" s="28" t="str">
        <f t="shared" si="9"/>
        <v>'818',</v>
      </c>
      <c r="AF78" t="str">
        <f t="shared" si="10"/>
        <v>'76',</v>
      </c>
      <c r="AG78" t="str">
        <f t="shared" si="11"/>
        <v>'Cresterea plantelor incetineste.'),</v>
      </c>
      <c r="AL78" s="25">
        <v>6.14</v>
      </c>
      <c r="AM78" s="25">
        <v>8.18</v>
      </c>
      <c r="AX78">
        <v>176</v>
      </c>
      <c r="AY78" t="s">
        <v>131</v>
      </c>
      <c r="AZ78" t="s">
        <v>132</v>
      </c>
      <c r="BA78" s="22">
        <v>0.41</v>
      </c>
      <c r="BB78" s="22">
        <v>0.6</v>
      </c>
      <c r="BD78">
        <v>76</v>
      </c>
      <c r="BE78" t="s">
        <v>133</v>
      </c>
    </row>
    <row r="79" spans="19:57" x14ac:dyDescent="0.35">
      <c r="S79">
        <v>168</v>
      </c>
      <c r="T79" t="s">
        <v>23</v>
      </c>
      <c r="U79">
        <v>3</v>
      </c>
      <c r="Y79" t="str">
        <f t="shared" si="6"/>
        <v>('177',</v>
      </c>
      <c r="Z79" t="str">
        <f t="shared" si="7"/>
        <v>'32°C',</v>
      </c>
      <c r="AA79" t="str">
        <f t="shared" si="7"/>
        <v>'37.9°C',</v>
      </c>
      <c r="AB79" s="22" t="str">
        <f t="shared" si="8"/>
        <v>'41%',</v>
      </c>
      <c r="AC79" s="22" t="str">
        <f t="shared" si="8"/>
        <v>'60%',</v>
      </c>
      <c r="AD79" s="28" t="str">
        <f t="shared" si="9"/>
        <v>'410',</v>
      </c>
      <c r="AE79" s="28" t="str">
        <f t="shared" si="9"/>
        <v>'613',</v>
      </c>
      <c r="AF79" t="str">
        <f t="shared" si="10"/>
        <v>'77',</v>
      </c>
      <c r="AG79" t="str">
        <f t="shared" si="11"/>
        <v>'Cresterea plantelor incetineste.'),</v>
      </c>
      <c r="AL79" s="25">
        <v>4.0999999999999996</v>
      </c>
      <c r="AM79" s="25">
        <v>6.13</v>
      </c>
      <c r="AX79">
        <v>177</v>
      </c>
      <c r="AY79" t="s">
        <v>131</v>
      </c>
      <c r="AZ79" t="s">
        <v>132</v>
      </c>
      <c r="BA79" s="22">
        <v>0.41</v>
      </c>
      <c r="BB79" s="22">
        <v>0.6</v>
      </c>
      <c r="BD79">
        <v>77</v>
      </c>
      <c r="BE79" t="s">
        <v>133</v>
      </c>
    </row>
    <row r="80" spans="19:57" x14ac:dyDescent="0.35">
      <c r="S80">
        <v>169</v>
      </c>
      <c r="T80" t="s">
        <v>24</v>
      </c>
      <c r="U80">
        <v>3</v>
      </c>
      <c r="Y80" t="str">
        <f t="shared" si="6"/>
        <v>('178',</v>
      </c>
      <c r="Z80" t="str">
        <f t="shared" si="7"/>
        <v>'32°C',</v>
      </c>
      <c r="AA80" t="str">
        <f t="shared" si="7"/>
        <v>'37.9°C',</v>
      </c>
      <c r="AB80" s="22" t="str">
        <f t="shared" si="8"/>
        <v>'41%',</v>
      </c>
      <c r="AC80" s="22" t="str">
        <f t="shared" si="8"/>
        <v>'60%',</v>
      </c>
      <c r="AD80" s="28" t="str">
        <f t="shared" si="9"/>
        <v>'410',</v>
      </c>
      <c r="AE80" s="28" t="str">
        <f t="shared" si="9"/>
        <v>'613',</v>
      </c>
      <c r="AF80" t="str">
        <f t="shared" si="10"/>
        <v>'78',</v>
      </c>
      <c r="AG80" t="str">
        <f t="shared" si="11"/>
        <v>'Cresterea plantelor incetineste.'),</v>
      </c>
      <c r="AL80" s="25">
        <v>4.0999999999999996</v>
      </c>
      <c r="AM80" s="25">
        <v>6.13</v>
      </c>
      <c r="AX80">
        <v>178</v>
      </c>
      <c r="AY80" t="s">
        <v>131</v>
      </c>
      <c r="AZ80" t="s">
        <v>132</v>
      </c>
      <c r="BA80" s="22">
        <v>0.41</v>
      </c>
      <c r="BB80" s="22">
        <v>0.6</v>
      </c>
      <c r="BD80">
        <v>78</v>
      </c>
      <c r="BE80" t="s">
        <v>133</v>
      </c>
    </row>
    <row r="81" spans="19:57" x14ac:dyDescent="0.35">
      <c r="S81">
        <v>17</v>
      </c>
      <c r="T81" t="s">
        <v>19</v>
      </c>
      <c r="U81">
        <v>1</v>
      </c>
      <c r="Y81" t="str">
        <f t="shared" si="6"/>
        <v>('179',</v>
      </c>
      <c r="Z81" t="str">
        <f t="shared" si="7"/>
        <v>'32°C',</v>
      </c>
      <c r="AA81" t="str">
        <f t="shared" si="7"/>
        <v>'37.9°C',</v>
      </c>
      <c r="AB81" s="22" t="str">
        <f t="shared" si="8"/>
        <v>'41%',</v>
      </c>
      <c r="AC81" s="22" t="str">
        <f t="shared" si="8"/>
        <v>'60%',</v>
      </c>
      <c r="AD81" s="28" t="str">
        <f t="shared" si="9"/>
        <v>'614',</v>
      </c>
      <c r="AE81" s="28" t="str">
        <f t="shared" si="9"/>
        <v>'818',</v>
      </c>
      <c r="AF81" t="str">
        <f t="shared" si="10"/>
        <v>'79',</v>
      </c>
      <c r="AG81" t="str">
        <f t="shared" si="11"/>
        <v>'Cresterea plantelor incetineste.'),</v>
      </c>
      <c r="AL81" s="25">
        <v>6.14</v>
      </c>
      <c r="AM81" s="25">
        <v>8.18</v>
      </c>
      <c r="AX81">
        <v>179</v>
      </c>
      <c r="AY81" t="s">
        <v>131</v>
      </c>
      <c r="AZ81" t="s">
        <v>132</v>
      </c>
      <c r="BA81" s="22">
        <v>0.41</v>
      </c>
      <c r="BB81" s="22">
        <v>0.6</v>
      </c>
      <c r="BD81">
        <v>79</v>
      </c>
      <c r="BE81" t="s">
        <v>133</v>
      </c>
    </row>
    <row r="82" spans="19:57" x14ac:dyDescent="0.35">
      <c r="S82">
        <v>170</v>
      </c>
      <c r="T82" t="s">
        <v>25</v>
      </c>
      <c r="U82">
        <v>3</v>
      </c>
      <c r="Y82" t="str">
        <f t="shared" si="6"/>
        <v>('180',</v>
      </c>
      <c r="Z82" t="str">
        <f t="shared" si="7"/>
        <v>'18°C',</v>
      </c>
      <c r="AA82" t="str">
        <f t="shared" si="7"/>
        <v>'31.9°C',</v>
      </c>
      <c r="AB82" s="22" t="str">
        <f t="shared" si="8"/>
        <v>'25%',</v>
      </c>
      <c r="AC82" s="22" t="str">
        <f t="shared" si="8"/>
        <v>'80%',</v>
      </c>
      <c r="AD82" s="28" t="str">
        <f t="shared" si="9"/>
        <v>'410',</v>
      </c>
      <c r="AE82" s="28" t="str">
        <f t="shared" si="9"/>
        <v>'613',</v>
      </c>
      <c r="AF82" t="str">
        <f t="shared" si="10"/>
        <v>'80',</v>
      </c>
      <c r="AG82" t="str">
        <f t="shared" si="11"/>
        <v>'Interval ideal pentru nitrificare, cresterea plantelor si plantare.'),</v>
      </c>
      <c r="AL82" s="25">
        <v>4.0999999999999996</v>
      </c>
      <c r="AM82" s="25">
        <v>6.13</v>
      </c>
      <c r="AX82">
        <v>180</v>
      </c>
      <c r="AY82" t="s">
        <v>134</v>
      </c>
      <c r="AZ82" t="s">
        <v>135</v>
      </c>
      <c r="BA82" s="22">
        <v>0.25</v>
      </c>
      <c r="BB82" s="22">
        <v>0.8</v>
      </c>
      <c r="BD82">
        <v>80</v>
      </c>
      <c r="BE82" t="s">
        <v>137</v>
      </c>
    </row>
    <row r="83" spans="19:57" x14ac:dyDescent="0.35">
      <c r="S83">
        <v>171</v>
      </c>
      <c r="T83" t="s">
        <v>26</v>
      </c>
      <c r="U83">
        <v>3</v>
      </c>
      <c r="Y83" t="str">
        <f t="shared" si="6"/>
        <v>('181',</v>
      </c>
      <c r="Z83" t="str">
        <f t="shared" si="7"/>
        <v>'18°C',</v>
      </c>
      <c r="AA83" t="str">
        <f t="shared" si="7"/>
        <v>'31.9°C',</v>
      </c>
      <c r="AB83" s="22" t="str">
        <f t="shared" si="8"/>
        <v>'61%',</v>
      </c>
      <c r="AC83" s="22" t="str">
        <f t="shared" si="8"/>
        <v>'80%',</v>
      </c>
      <c r="AD83" s="28" t="str">
        <f t="shared" si="9"/>
        <v>'410',</v>
      </c>
      <c r="AE83" s="28" t="str">
        <f t="shared" si="9"/>
        <v>'613',</v>
      </c>
      <c r="AF83" t="str">
        <f t="shared" si="10"/>
        <v>'81',</v>
      </c>
      <c r="AG83" t="str">
        <f t="shared" si="11"/>
        <v>'Interval ideal pentru nitrificare, cresterea plantelor si plantare.'),</v>
      </c>
      <c r="AL83" s="25">
        <v>4.0999999999999996</v>
      </c>
      <c r="AM83" s="25">
        <v>6.13</v>
      </c>
      <c r="AX83">
        <v>181</v>
      </c>
      <c r="AY83" t="s">
        <v>134</v>
      </c>
      <c r="AZ83" t="s">
        <v>135</v>
      </c>
      <c r="BA83" s="22">
        <v>0.61</v>
      </c>
      <c r="BB83" s="22">
        <v>0.8</v>
      </c>
      <c r="BD83">
        <v>81</v>
      </c>
      <c r="BE83" t="s">
        <v>137</v>
      </c>
    </row>
    <row r="84" spans="19:57" x14ac:dyDescent="0.35">
      <c r="S84">
        <v>172</v>
      </c>
      <c r="T84" t="s">
        <v>27</v>
      </c>
      <c r="U84">
        <v>3</v>
      </c>
      <c r="Y84" t="str">
        <f t="shared" si="6"/>
        <v>('182',</v>
      </c>
      <c r="Z84" t="str">
        <f t="shared" si="7"/>
        <v>'18°C',</v>
      </c>
      <c r="AA84" t="str">
        <f t="shared" si="7"/>
        <v>'31.9°C',</v>
      </c>
      <c r="AB84" s="22" t="str">
        <f t="shared" si="8"/>
        <v>'61%',</v>
      </c>
      <c r="AC84" s="22" t="str">
        <f t="shared" si="8"/>
        <v>'80%',</v>
      </c>
      <c r="AD84" s="28" t="str">
        <f t="shared" si="9"/>
        <v>'410',</v>
      </c>
      <c r="AE84" s="28" t="str">
        <f t="shared" si="9"/>
        <v>'613',</v>
      </c>
      <c r="AF84" t="str">
        <f t="shared" si="10"/>
        <v>'82',</v>
      </c>
      <c r="AG84" t="str">
        <f t="shared" si="11"/>
        <v>'Interval ideal pentru nitrificare, cresterea plantelor si plantare.'),</v>
      </c>
      <c r="AL84" s="25">
        <v>4.0999999999999996</v>
      </c>
      <c r="AM84" s="25">
        <v>6.13</v>
      </c>
      <c r="AX84">
        <v>182</v>
      </c>
      <c r="AY84" t="s">
        <v>134</v>
      </c>
      <c r="AZ84" t="s">
        <v>135</v>
      </c>
      <c r="BA84" s="22">
        <v>0.61</v>
      </c>
      <c r="BB84" s="22">
        <v>0.8</v>
      </c>
      <c r="BD84">
        <v>82</v>
      </c>
      <c r="BE84" t="s">
        <v>137</v>
      </c>
    </row>
    <row r="85" spans="19:57" x14ac:dyDescent="0.35">
      <c r="S85">
        <v>173</v>
      </c>
      <c r="T85" t="s">
        <v>28</v>
      </c>
      <c r="U85">
        <v>3</v>
      </c>
      <c r="Y85" t="str">
        <f t="shared" si="6"/>
        <v>('183',</v>
      </c>
      <c r="Z85" t="str">
        <f t="shared" si="7"/>
        <v>'18°C',</v>
      </c>
      <c r="AA85" t="str">
        <f t="shared" si="7"/>
        <v>'31.9°C',</v>
      </c>
      <c r="AB85" s="22" t="str">
        <f t="shared" si="8"/>
        <v>'27%',</v>
      </c>
      <c r="AC85" s="22" t="str">
        <f t="shared" si="8"/>
        <v>'80%',</v>
      </c>
      <c r="AD85" s="28" t="str">
        <f t="shared" si="9"/>
        <v>'410',</v>
      </c>
      <c r="AE85" s="28" t="str">
        <f t="shared" si="9"/>
        <v>'613',</v>
      </c>
      <c r="AF85" t="str">
        <f t="shared" si="10"/>
        <v>'83',</v>
      </c>
      <c r="AG85" t="str">
        <f t="shared" si="11"/>
        <v>'Interval ideal pentru nitrificare, cresterea plantelor si plantare.'),</v>
      </c>
      <c r="AL85" s="25">
        <v>4.0999999999999996</v>
      </c>
      <c r="AM85" s="25">
        <v>6.13</v>
      </c>
      <c r="AX85">
        <v>183</v>
      </c>
      <c r="AY85" t="s">
        <v>134</v>
      </c>
      <c r="AZ85" t="s">
        <v>135</v>
      </c>
      <c r="BA85" s="22">
        <v>0.27</v>
      </c>
      <c r="BB85" s="22">
        <v>0.8</v>
      </c>
      <c r="BD85">
        <v>83</v>
      </c>
      <c r="BE85" t="s">
        <v>137</v>
      </c>
    </row>
    <row r="86" spans="19:57" x14ac:dyDescent="0.35">
      <c r="S86">
        <v>174</v>
      </c>
      <c r="T86" t="s">
        <v>121</v>
      </c>
      <c r="U86">
        <v>3</v>
      </c>
      <c r="Y86" t="str">
        <f t="shared" si="6"/>
        <v>('184',</v>
      </c>
      <c r="Z86" t="str">
        <f t="shared" si="7"/>
        <v>'18°C',</v>
      </c>
      <c r="AA86" t="str">
        <f t="shared" si="7"/>
        <v>'31.9°C',</v>
      </c>
      <c r="AB86" s="22" t="str">
        <f t="shared" si="8"/>
        <v>'61%',</v>
      </c>
      <c r="AC86" s="22" t="str">
        <f t="shared" si="8"/>
        <v>'80%',</v>
      </c>
      <c r="AD86" s="28" t="str">
        <f t="shared" si="9"/>
        <v>'410',</v>
      </c>
      <c r="AE86" s="28" t="str">
        <f t="shared" si="9"/>
        <v>'613',</v>
      </c>
      <c r="AF86" t="str">
        <f t="shared" si="10"/>
        <v>'84',</v>
      </c>
      <c r="AG86" t="str">
        <f t="shared" si="11"/>
        <v>'Interval ideal pentru nitrificare, cresterea plantelor si plantare.'),</v>
      </c>
      <c r="AL86" s="25">
        <v>4.0999999999999996</v>
      </c>
      <c r="AM86" s="25">
        <v>6.13</v>
      </c>
      <c r="AX86">
        <v>184</v>
      </c>
      <c r="AY86" t="s">
        <v>134</v>
      </c>
      <c r="AZ86" t="s">
        <v>135</v>
      </c>
      <c r="BA86" s="22">
        <v>0.61</v>
      </c>
      <c r="BB86" s="22">
        <v>0.8</v>
      </c>
      <c r="BD86">
        <v>84</v>
      </c>
      <c r="BE86" t="s">
        <v>137</v>
      </c>
    </row>
    <row r="87" spans="19:57" x14ac:dyDescent="0.35">
      <c r="S87">
        <v>175</v>
      </c>
      <c r="T87" t="s">
        <v>30</v>
      </c>
      <c r="U87">
        <v>3</v>
      </c>
      <c r="Y87" t="str">
        <f t="shared" si="6"/>
        <v>('185',</v>
      </c>
      <c r="Z87" t="str">
        <f t="shared" si="7"/>
        <v>'18°C',</v>
      </c>
      <c r="AA87" t="str">
        <f t="shared" si="7"/>
        <v>'31.9°C',</v>
      </c>
      <c r="AB87" s="22" t="str">
        <f t="shared" si="8"/>
        <v>'61%',</v>
      </c>
      <c r="AC87" s="22" t="str">
        <f t="shared" si="8"/>
        <v>'80%',</v>
      </c>
      <c r="AD87" s="28" t="str">
        <f t="shared" si="9"/>
        <v>'410',</v>
      </c>
      <c r="AE87" s="28" t="str">
        <f t="shared" si="9"/>
        <v>'613',</v>
      </c>
      <c r="AF87" t="str">
        <f t="shared" si="10"/>
        <v>'85',</v>
      </c>
      <c r="AG87" t="str">
        <f t="shared" si="11"/>
        <v>'Interval ideal pentru nitrificare, cresterea plantelor si plantare.'),</v>
      </c>
      <c r="AL87" s="25">
        <v>4.0999999999999996</v>
      </c>
      <c r="AM87" s="25">
        <v>6.13</v>
      </c>
      <c r="AX87">
        <v>185</v>
      </c>
      <c r="AY87" t="s">
        <v>134</v>
      </c>
      <c r="AZ87" t="s">
        <v>135</v>
      </c>
      <c r="BA87" s="22">
        <v>0.61</v>
      </c>
      <c r="BB87" s="22">
        <v>0.8</v>
      </c>
      <c r="BD87">
        <v>85</v>
      </c>
      <c r="BE87" t="s">
        <v>137</v>
      </c>
    </row>
    <row r="88" spans="19:57" x14ac:dyDescent="0.35">
      <c r="S88">
        <v>176</v>
      </c>
      <c r="T88" t="s">
        <v>71</v>
      </c>
      <c r="U88">
        <v>3</v>
      </c>
      <c r="Y88" t="str">
        <f t="shared" si="6"/>
        <v>('186',</v>
      </c>
      <c r="Z88" t="str">
        <f t="shared" si="7"/>
        <v>'18°C',</v>
      </c>
      <c r="AA88" t="str">
        <f t="shared" si="7"/>
        <v>'31.9°C',</v>
      </c>
      <c r="AB88" s="22" t="str">
        <f t="shared" si="8"/>
        <v>'61%',</v>
      </c>
      <c r="AC88" s="22" t="str">
        <f t="shared" si="8"/>
        <v>'80%',</v>
      </c>
      <c r="AD88" s="28" t="str">
        <f t="shared" si="9"/>
        <v>'410',</v>
      </c>
      <c r="AE88" s="28" t="str">
        <f t="shared" si="9"/>
        <v>'613',</v>
      </c>
      <c r="AF88" t="str">
        <f t="shared" si="10"/>
        <v>'86',</v>
      </c>
      <c r="AG88" t="str">
        <f t="shared" si="11"/>
        <v>'Interval ideal pentru nitrificare, cresterea plantelor si plantare.'),</v>
      </c>
      <c r="AL88" s="25">
        <v>4.0999999999999996</v>
      </c>
      <c r="AM88" s="25">
        <v>6.13</v>
      </c>
      <c r="AX88">
        <v>186</v>
      </c>
      <c r="AY88" t="s">
        <v>134</v>
      </c>
      <c r="AZ88" t="s">
        <v>135</v>
      </c>
      <c r="BA88" s="22">
        <v>0.61</v>
      </c>
      <c r="BB88" s="22">
        <v>0.8</v>
      </c>
      <c r="BD88">
        <v>86</v>
      </c>
      <c r="BE88" t="s">
        <v>137</v>
      </c>
    </row>
    <row r="89" spans="19:57" x14ac:dyDescent="0.35">
      <c r="S89">
        <v>177</v>
      </c>
      <c r="T89" t="s">
        <v>31</v>
      </c>
      <c r="U89">
        <v>3</v>
      </c>
      <c r="Y89" t="str">
        <f t="shared" si="6"/>
        <v>('187',</v>
      </c>
      <c r="Z89" t="str">
        <f t="shared" si="7"/>
        <v>'45°C',</v>
      </c>
      <c r="AA89" t="str">
        <f t="shared" si="7"/>
        <v>'54°C',</v>
      </c>
      <c r="AB89" s="22" t="str">
        <f t="shared" si="8"/>
        <v>'0%',</v>
      </c>
      <c r="AC89" s="22" t="str">
        <f t="shared" si="8"/>
        <v>'20%',</v>
      </c>
      <c r="AD89" s="28" t="str">
        <f t="shared" si="9"/>
        <v>'205',</v>
      </c>
      <c r="AE89" s="28" t="str">
        <f t="shared" si="9"/>
        <v>'409',</v>
      </c>
      <c r="AF89" t="str">
        <f t="shared" si="10"/>
        <v>'87',</v>
      </c>
      <c r="AG89" t="str">
        <f t="shared" si="11"/>
        <v>'Unele specii de bacterii incep sa moara.'),</v>
      </c>
      <c r="AL89" s="25">
        <v>2.0499999999999998</v>
      </c>
      <c r="AM89" s="25">
        <v>4.09</v>
      </c>
      <c r="AX89">
        <v>187</v>
      </c>
      <c r="AY89" t="s">
        <v>125</v>
      </c>
      <c r="AZ89" t="s">
        <v>126</v>
      </c>
      <c r="BA89" s="22">
        <v>0</v>
      </c>
      <c r="BB89" s="22">
        <v>0.2</v>
      </c>
      <c r="BD89">
        <v>87</v>
      </c>
      <c r="BE89" t="s">
        <v>127</v>
      </c>
    </row>
    <row r="90" spans="19:57" x14ac:dyDescent="0.35">
      <c r="S90">
        <v>18</v>
      </c>
      <c r="T90" t="s">
        <v>20</v>
      </c>
      <c r="U90">
        <v>1</v>
      </c>
      <c r="Y90" t="str">
        <f t="shared" si="6"/>
        <v>('188',</v>
      </c>
      <c r="Z90" t="str">
        <f t="shared" si="7"/>
        <v>'45°C',</v>
      </c>
      <c r="AA90" t="str">
        <f t="shared" si="7"/>
        <v>'54°C',</v>
      </c>
      <c r="AB90" s="22" t="str">
        <f t="shared" si="8"/>
        <v>'0%',</v>
      </c>
      <c r="AC90" s="22" t="str">
        <f t="shared" si="8"/>
        <v>'20%',</v>
      </c>
      <c r="AD90" s="28" t="str">
        <f t="shared" si="9"/>
        <v>'614',</v>
      </c>
      <c r="AE90" s="28" t="str">
        <f t="shared" si="9"/>
        <v>'818',</v>
      </c>
      <c r="AF90" t="str">
        <f t="shared" si="10"/>
        <v>'88',</v>
      </c>
      <c r="AG90" t="str">
        <f t="shared" si="11"/>
        <v>'Unele specii de bacterii incep sa moara.'),</v>
      </c>
      <c r="AL90" s="25">
        <v>6.14</v>
      </c>
      <c r="AM90" s="25">
        <v>8.18</v>
      </c>
      <c r="AX90">
        <v>188</v>
      </c>
      <c r="AY90" t="s">
        <v>125</v>
      </c>
      <c r="AZ90" t="s">
        <v>126</v>
      </c>
      <c r="BA90" s="22">
        <v>0</v>
      </c>
      <c r="BB90" s="22">
        <v>0.2</v>
      </c>
      <c r="BD90">
        <v>88</v>
      </c>
      <c r="BE90" t="s">
        <v>127</v>
      </c>
    </row>
    <row r="91" spans="19:57" x14ac:dyDescent="0.35">
      <c r="S91">
        <v>19</v>
      </c>
      <c r="T91" t="s">
        <v>7</v>
      </c>
      <c r="U91">
        <v>1</v>
      </c>
      <c r="Y91" t="str">
        <f t="shared" si="6"/>
        <v>('189',</v>
      </c>
      <c r="Z91" t="str">
        <f t="shared" si="7"/>
        <v>'38°C',</v>
      </c>
      <c r="AA91" t="str">
        <f t="shared" si="7"/>
        <v>'44.9°C',</v>
      </c>
      <c r="AB91" s="22" t="str">
        <f t="shared" si="8"/>
        <v>'21%',</v>
      </c>
      <c r="AC91" s="22" t="str">
        <f t="shared" si="8"/>
        <v>'40%',</v>
      </c>
      <c r="AD91" s="28" t="str">
        <f t="shared" si="9"/>
        <v>'614',</v>
      </c>
      <c r="AE91" s="28" t="str">
        <f t="shared" si="9"/>
        <v>'818',</v>
      </c>
      <c r="AF91" t="str">
        <f t="shared" si="10"/>
        <v>'89',</v>
      </c>
      <c r="AG91" t="str">
        <f t="shared" si="11"/>
        <v>'15% din umiditate este folosita pentru crestere, 85% se pierde prin evaporare si transpiratie.'),</v>
      </c>
      <c r="AL91" s="25">
        <v>6.14</v>
      </c>
      <c r="AM91" s="25">
        <v>8.18</v>
      </c>
      <c r="AX91">
        <v>189</v>
      </c>
      <c r="AY91" t="s">
        <v>128</v>
      </c>
      <c r="AZ91" t="s">
        <v>129</v>
      </c>
      <c r="BA91" s="22">
        <v>0.21</v>
      </c>
      <c r="BB91" s="22">
        <v>0.4</v>
      </c>
      <c r="BD91">
        <v>89</v>
      </c>
      <c r="BE91" t="s">
        <v>130</v>
      </c>
    </row>
    <row r="92" spans="19:57" x14ac:dyDescent="0.35">
      <c r="S92">
        <v>2</v>
      </c>
      <c r="T92" t="s">
        <v>8</v>
      </c>
      <c r="U92">
        <v>1</v>
      </c>
      <c r="Y92" t="str">
        <f t="shared" si="6"/>
        <v>('190',</v>
      </c>
      <c r="Z92" t="str">
        <f t="shared" si="7"/>
        <v>'38°C',</v>
      </c>
      <c r="AA92" t="str">
        <f t="shared" si="7"/>
        <v>'44.9°C',</v>
      </c>
      <c r="AB92" s="22" t="str">
        <f t="shared" si="8"/>
        <v>'21%',</v>
      </c>
      <c r="AC92" s="22" t="str">
        <f t="shared" si="8"/>
        <v>'40%',</v>
      </c>
      <c r="AD92" s="28" t="str">
        <f t="shared" si="9"/>
        <v>'819',</v>
      </c>
      <c r="AE92" s="28" t="str">
        <f t="shared" si="9"/>
        <v>'1024',</v>
      </c>
      <c r="AF92" t="str">
        <f t="shared" si="10"/>
        <v>'90',</v>
      </c>
      <c r="AG92" t="str">
        <f t="shared" si="11"/>
        <v>'15% din umiditate este folosita pentru crestere, 85% se pierde prin evaporare si transpiratie.'),</v>
      </c>
      <c r="AL92" s="25">
        <v>8.19</v>
      </c>
      <c r="AM92" s="25">
        <v>10.24</v>
      </c>
      <c r="AX92">
        <v>190</v>
      </c>
      <c r="AY92" t="s">
        <v>128</v>
      </c>
      <c r="AZ92" t="s">
        <v>129</v>
      </c>
      <c r="BA92" s="22">
        <v>0.21</v>
      </c>
      <c r="BB92" s="22">
        <v>0.4</v>
      </c>
      <c r="BD92">
        <v>90</v>
      </c>
      <c r="BE92" t="s">
        <v>130</v>
      </c>
    </row>
    <row r="93" spans="19:57" x14ac:dyDescent="0.35">
      <c r="S93">
        <v>20</v>
      </c>
      <c r="T93" t="s">
        <v>4</v>
      </c>
      <c r="U93">
        <v>1</v>
      </c>
      <c r="Y93" t="str">
        <f t="shared" si="6"/>
        <v>('191',</v>
      </c>
      <c r="Z93" t="str">
        <f t="shared" si="7"/>
        <v>'38°C',</v>
      </c>
      <c r="AA93" t="str">
        <f t="shared" si="7"/>
        <v>'44.9°C',</v>
      </c>
      <c r="AB93" s="22" t="str">
        <f t="shared" si="8"/>
        <v>'21%',</v>
      </c>
      <c r="AC93" s="22" t="str">
        <f t="shared" si="8"/>
        <v>'40%',</v>
      </c>
      <c r="AD93" s="28" t="str">
        <f t="shared" si="9"/>
        <v>'614',</v>
      </c>
      <c r="AE93" s="28" t="str">
        <f t="shared" si="9"/>
        <v>'818',</v>
      </c>
      <c r="AF93" t="str">
        <f t="shared" si="10"/>
        <v>'91',</v>
      </c>
      <c r="AG93" t="str">
        <f t="shared" si="11"/>
        <v>'15% din umiditate este folosita pentru crestere, 85% se pierde prin evaporare si transpiratie.'),</v>
      </c>
      <c r="AL93" s="25">
        <v>6.14</v>
      </c>
      <c r="AM93" s="25">
        <v>8.18</v>
      </c>
      <c r="AX93">
        <v>191</v>
      </c>
      <c r="AY93" t="s">
        <v>128</v>
      </c>
      <c r="AZ93" t="s">
        <v>129</v>
      </c>
      <c r="BA93" s="22">
        <v>0.21</v>
      </c>
      <c r="BB93" s="22">
        <v>0.4</v>
      </c>
      <c r="BD93">
        <v>91</v>
      </c>
      <c r="BE93" t="s">
        <v>130</v>
      </c>
    </row>
    <row r="94" spans="19:57" x14ac:dyDescent="0.35">
      <c r="S94">
        <v>21</v>
      </c>
      <c r="T94" t="s">
        <v>32</v>
      </c>
      <c r="U94">
        <v>1</v>
      </c>
      <c r="Y94" t="str">
        <f t="shared" si="6"/>
        <v>('192',</v>
      </c>
      <c r="Z94" t="str">
        <f t="shared" si="7"/>
        <v>'38°C',</v>
      </c>
      <c r="AA94" t="str">
        <f t="shared" si="7"/>
        <v>'44.9°C',</v>
      </c>
      <c r="AB94" s="22" t="str">
        <f t="shared" si="8"/>
        <v>'21%',</v>
      </c>
      <c r="AC94" s="22" t="str">
        <f t="shared" si="8"/>
        <v>'40%',</v>
      </c>
      <c r="AD94" s="28" t="str">
        <f t="shared" si="9"/>
        <v>'614',</v>
      </c>
      <c r="AE94" s="28" t="str">
        <f t="shared" si="9"/>
        <v>'818',</v>
      </c>
      <c r="AF94" t="str">
        <f t="shared" si="10"/>
        <v>'92',</v>
      </c>
      <c r="AG94" t="str">
        <f t="shared" si="11"/>
        <v>'15% din umiditate este folosita pentru crestere, 85% se pierde prin evaporare si transpiratie.'),</v>
      </c>
      <c r="AL94" s="25">
        <v>6.14</v>
      </c>
      <c r="AM94" s="25">
        <v>8.18</v>
      </c>
      <c r="AX94">
        <v>192</v>
      </c>
      <c r="AY94" t="s">
        <v>128</v>
      </c>
      <c r="AZ94" t="s">
        <v>129</v>
      </c>
      <c r="BA94" s="22">
        <v>0.21</v>
      </c>
      <c r="BB94" s="22">
        <v>0.4</v>
      </c>
      <c r="BD94">
        <v>92</v>
      </c>
      <c r="BE94" t="s">
        <v>130</v>
      </c>
    </row>
    <row r="95" spans="19:57" x14ac:dyDescent="0.35">
      <c r="S95">
        <v>22</v>
      </c>
      <c r="T95" t="s">
        <v>6</v>
      </c>
      <c r="U95">
        <v>1</v>
      </c>
      <c r="Y95" t="str">
        <f t="shared" si="6"/>
        <v>('193',</v>
      </c>
      <c r="Z95" t="str">
        <f t="shared" si="7"/>
        <v>'38°C',</v>
      </c>
      <c r="AA95" t="str">
        <f t="shared" si="7"/>
        <v>'44.9°C',</v>
      </c>
      <c r="AB95" s="22" t="str">
        <f t="shared" si="8"/>
        <v>'21%',</v>
      </c>
      <c r="AC95" s="22" t="str">
        <f t="shared" si="8"/>
        <v>'40%',</v>
      </c>
      <c r="AD95" s="28" t="str">
        <f t="shared" si="9"/>
        <v>'614',</v>
      </c>
      <c r="AE95" s="28" t="str">
        <f t="shared" si="9"/>
        <v>'818',</v>
      </c>
      <c r="AF95" t="str">
        <f t="shared" si="10"/>
        <v>'93',</v>
      </c>
      <c r="AG95" t="str">
        <f t="shared" si="11"/>
        <v>'15% din umiditate este folosita pentru crestere, 85% se pierde prin evaporare si transpiratie.'),</v>
      </c>
      <c r="AL95" s="25">
        <v>6.14</v>
      </c>
      <c r="AM95" s="25">
        <v>8.18</v>
      </c>
      <c r="AX95">
        <v>193</v>
      </c>
      <c r="AY95" t="s">
        <v>128</v>
      </c>
      <c r="AZ95" t="s">
        <v>129</v>
      </c>
      <c r="BA95" s="22">
        <v>0.21</v>
      </c>
      <c r="BB95" s="22">
        <v>0.4</v>
      </c>
      <c r="BD95">
        <v>93</v>
      </c>
      <c r="BE95" t="s">
        <v>130</v>
      </c>
    </row>
    <row r="96" spans="19:57" x14ac:dyDescent="0.35">
      <c r="S96">
        <v>23</v>
      </c>
      <c r="T96" t="s">
        <v>8</v>
      </c>
      <c r="U96">
        <v>1</v>
      </c>
      <c r="Y96" t="str">
        <f t="shared" si="6"/>
        <v>('194',</v>
      </c>
      <c r="Z96" t="str">
        <f t="shared" si="7"/>
        <v>'38°C',</v>
      </c>
      <c r="AA96" t="str">
        <f t="shared" si="7"/>
        <v>'44.9°C',</v>
      </c>
      <c r="AB96" s="22" t="str">
        <f t="shared" si="8"/>
        <v>'21%',</v>
      </c>
      <c r="AC96" s="22" t="str">
        <f t="shared" si="8"/>
        <v>'40%',</v>
      </c>
      <c r="AD96" s="28" t="str">
        <f t="shared" si="9"/>
        <v>'614',</v>
      </c>
      <c r="AE96" s="28" t="str">
        <f t="shared" si="9"/>
        <v>'818',</v>
      </c>
      <c r="AF96" t="str">
        <f t="shared" si="10"/>
        <v>'94',</v>
      </c>
      <c r="AG96" t="str">
        <f t="shared" si="11"/>
        <v>'15% din umiditate este folosita pentru crestere, 85% se pierde prin evaporare si transpiratie.'),</v>
      </c>
      <c r="AL96" s="25">
        <v>6.14</v>
      </c>
      <c r="AM96" s="25">
        <v>8.18</v>
      </c>
      <c r="AX96">
        <v>194</v>
      </c>
      <c r="AY96" t="s">
        <v>128</v>
      </c>
      <c r="AZ96" t="s">
        <v>129</v>
      </c>
      <c r="BA96" s="22">
        <v>0.21</v>
      </c>
      <c r="BB96" s="22">
        <v>0.4</v>
      </c>
      <c r="BD96">
        <v>94</v>
      </c>
      <c r="BE96" t="s">
        <v>130</v>
      </c>
    </row>
    <row r="97" spans="1:57" x14ac:dyDescent="0.35">
      <c r="S97">
        <v>24</v>
      </c>
      <c r="T97" t="s">
        <v>9</v>
      </c>
      <c r="U97">
        <v>1</v>
      </c>
      <c r="Y97" t="str">
        <f t="shared" si="6"/>
        <v>('195',</v>
      </c>
      <c r="Z97" t="str">
        <f t="shared" si="7"/>
        <v>'38°C',</v>
      </c>
      <c r="AA97" t="str">
        <f t="shared" si="7"/>
        <v>'44.9°C',</v>
      </c>
      <c r="AB97" s="22" t="str">
        <f t="shared" si="8"/>
        <v>'21%',</v>
      </c>
      <c r="AC97" s="22" t="str">
        <f t="shared" si="8"/>
        <v>'40%',</v>
      </c>
      <c r="AD97" s="28" t="str">
        <f t="shared" si="9"/>
        <v>'614',</v>
      </c>
      <c r="AE97" s="28" t="str">
        <f t="shared" si="9"/>
        <v>'818',</v>
      </c>
      <c r="AF97" t="str">
        <f t="shared" si="10"/>
        <v>'95',</v>
      </c>
      <c r="AG97" t="str">
        <f t="shared" si="11"/>
        <v>'15% din umiditate este folosita pentru crestere, 85% se pierde prin evaporare si transpiratie.'),</v>
      </c>
      <c r="AL97" s="25">
        <v>6.14</v>
      </c>
      <c r="AM97" s="25">
        <v>8.18</v>
      </c>
      <c r="AX97">
        <v>195</v>
      </c>
      <c r="AY97" t="s">
        <v>128</v>
      </c>
      <c r="AZ97" t="s">
        <v>129</v>
      </c>
      <c r="BA97" s="22">
        <v>0.21</v>
      </c>
      <c r="BB97" s="22">
        <v>0.4</v>
      </c>
      <c r="BD97">
        <v>95</v>
      </c>
      <c r="BE97" t="s">
        <v>130</v>
      </c>
    </row>
    <row r="98" spans="1:57" x14ac:dyDescent="0.35">
      <c r="S98">
        <v>25</v>
      </c>
      <c r="T98" t="s">
        <v>33</v>
      </c>
      <c r="U98">
        <v>1</v>
      </c>
      <c r="Y98" t="str">
        <f t="shared" si="6"/>
        <v>('196',</v>
      </c>
      <c r="Z98" t="str">
        <f t="shared" si="7"/>
        <v>'38°C',</v>
      </c>
      <c r="AA98" t="str">
        <f t="shared" si="7"/>
        <v>'44.9°C',</v>
      </c>
      <c r="AB98" s="22" t="str">
        <f t="shared" si="8"/>
        <v>'21%',</v>
      </c>
      <c r="AC98" s="22" t="str">
        <f t="shared" si="8"/>
        <v>'40%',</v>
      </c>
      <c r="AD98" s="28" t="str">
        <f t="shared" si="9"/>
        <v>'614',</v>
      </c>
      <c r="AE98" s="28" t="str">
        <f t="shared" si="9"/>
        <v>'818',</v>
      </c>
      <c r="AF98" t="str">
        <f t="shared" si="10"/>
        <v>'96',</v>
      </c>
      <c r="AG98" t="str">
        <f t="shared" si="11"/>
        <v>'15% din umiditate este folosita pentru crestere, 85% se pierde prin evaporare si transpiratie.'),</v>
      </c>
      <c r="AL98" s="25">
        <v>6.14</v>
      </c>
      <c r="AM98" s="25">
        <v>8.18</v>
      </c>
      <c r="AX98">
        <v>196</v>
      </c>
      <c r="AY98" t="s">
        <v>128</v>
      </c>
      <c r="AZ98" t="s">
        <v>129</v>
      </c>
      <c r="BA98" s="22">
        <v>0.21</v>
      </c>
      <c r="BB98" s="22">
        <v>0.4</v>
      </c>
      <c r="BD98">
        <v>96</v>
      </c>
      <c r="BE98" t="s">
        <v>130</v>
      </c>
    </row>
    <row r="99" spans="1:57" x14ac:dyDescent="0.35">
      <c r="S99">
        <v>26</v>
      </c>
      <c r="T99" t="s">
        <v>34</v>
      </c>
      <c r="U99">
        <v>1</v>
      </c>
      <c r="Y99" t="str">
        <f t="shared" si="6"/>
        <v>('197',</v>
      </c>
      <c r="Z99" t="str">
        <f t="shared" si="7"/>
        <v>'38°C',</v>
      </c>
      <c r="AA99" t="str">
        <f t="shared" si="7"/>
        <v>'44.9°C',</v>
      </c>
      <c r="AB99" s="22" t="str">
        <f t="shared" si="8"/>
        <v>'21%',</v>
      </c>
      <c r="AC99" s="22" t="str">
        <f t="shared" si="8"/>
        <v>'40%',</v>
      </c>
      <c r="AD99" s="28" t="str">
        <f t="shared" si="9"/>
        <v>'614',</v>
      </c>
      <c r="AE99" s="28" t="str">
        <f t="shared" si="9"/>
        <v>'818',</v>
      </c>
      <c r="AF99" t="str">
        <f t="shared" si="10"/>
        <v>'97',</v>
      </c>
      <c r="AG99" t="str">
        <f t="shared" si="11"/>
        <v>'15% din umiditate este folosita pentru crestere, 85% se pierde prin evaporare si transpiratie.'),</v>
      </c>
      <c r="AL99" s="25">
        <v>6.14</v>
      </c>
      <c r="AM99" s="25">
        <v>8.18</v>
      </c>
      <c r="AX99">
        <v>197</v>
      </c>
      <c r="AY99" t="s">
        <v>128</v>
      </c>
      <c r="AZ99" t="s">
        <v>129</v>
      </c>
      <c r="BA99" s="22">
        <v>0.21</v>
      </c>
      <c r="BB99" s="22">
        <v>0.4</v>
      </c>
      <c r="BD99">
        <v>97</v>
      </c>
      <c r="BE99" t="s">
        <v>130</v>
      </c>
    </row>
    <row r="100" spans="1:57" x14ac:dyDescent="0.35">
      <c r="S100">
        <v>27</v>
      </c>
      <c r="T100" t="s">
        <v>35</v>
      </c>
      <c r="U100">
        <v>1</v>
      </c>
      <c r="Y100" t="str">
        <f t="shared" si="6"/>
        <v>('198',</v>
      </c>
      <c r="Z100" t="str">
        <f t="shared" si="7"/>
        <v>'38°C',</v>
      </c>
      <c r="AA100" t="str">
        <f t="shared" si="7"/>
        <v>'44.9°C',</v>
      </c>
      <c r="AB100" s="22" t="str">
        <f t="shared" si="8"/>
        <v>'21%',</v>
      </c>
      <c r="AC100" s="22" t="str">
        <f t="shared" si="8"/>
        <v>'40%',</v>
      </c>
      <c r="AD100" s="28" t="str">
        <f t="shared" si="9"/>
        <v>'614',</v>
      </c>
      <c r="AE100" s="28" t="str">
        <f t="shared" si="9"/>
        <v>'818',</v>
      </c>
      <c r="AF100" t="str">
        <f t="shared" si="10"/>
        <v>'98',</v>
      </c>
      <c r="AG100" t="str">
        <f t="shared" si="11"/>
        <v>'15% din umiditate este folosita pentru crestere, 85% se pierde prin evaporare si transpiratie.'),</v>
      </c>
      <c r="AL100" s="25">
        <v>6.14</v>
      </c>
      <c r="AM100" s="25">
        <v>8.18</v>
      </c>
      <c r="AX100">
        <v>198</v>
      </c>
      <c r="AY100" t="s">
        <v>128</v>
      </c>
      <c r="AZ100" t="s">
        <v>129</v>
      </c>
      <c r="BA100" s="22">
        <v>0.21</v>
      </c>
      <c r="BB100" s="22">
        <v>0.4</v>
      </c>
      <c r="BD100">
        <v>98</v>
      </c>
      <c r="BE100" t="s">
        <v>130</v>
      </c>
    </row>
    <row r="101" spans="1:57" x14ac:dyDescent="0.35">
      <c r="A101" s="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S101">
        <v>28</v>
      </c>
      <c r="T101" t="s">
        <v>36</v>
      </c>
      <c r="U101">
        <v>1</v>
      </c>
      <c r="Y101" t="str">
        <f t="shared" si="6"/>
        <v>('199',</v>
      </c>
      <c r="Z101" t="str">
        <f t="shared" si="7"/>
        <v>'38°C',</v>
      </c>
      <c r="AA101" t="str">
        <f t="shared" si="7"/>
        <v>'44.9°C',</v>
      </c>
      <c r="AB101" s="22" t="str">
        <f t="shared" si="8"/>
        <v>'21%',</v>
      </c>
      <c r="AC101" s="22" t="str">
        <f t="shared" si="8"/>
        <v>'40%',</v>
      </c>
      <c r="AD101" s="28" t="str">
        <f t="shared" si="9"/>
        <v>'614',</v>
      </c>
      <c r="AE101" s="28" t="str">
        <f t="shared" si="9"/>
        <v>'818',</v>
      </c>
      <c r="AF101" t="str">
        <f t="shared" si="10"/>
        <v>'99',</v>
      </c>
      <c r="AG101" t="str">
        <f t="shared" si="11"/>
        <v>'15% din umiditate este folosita pentru crestere, 85% se pierde prin evaporare si transpiratie.'),</v>
      </c>
      <c r="AL101" s="25">
        <v>6.14</v>
      </c>
      <c r="AM101" s="25">
        <v>8.18</v>
      </c>
      <c r="AX101">
        <v>199</v>
      </c>
      <c r="AY101" t="s">
        <v>128</v>
      </c>
      <c r="AZ101" t="s">
        <v>129</v>
      </c>
      <c r="BA101" s="22">
        <v>0.21</v>
      </c>
      <c r="BB101" s="22">
        <v>0.4</v>
      </c>
      <c r="BD101">
        <v>99</v>
      </c>
      <c r="BE101" t="s">
        <v>130</v>
      </c>
    </row>
    <row r="102" spans="1:57" x14ac:dyDescent="0.35">
      <c r="S102">
        <v>29</v>
      </c>
      <c r="T102" t="s">
        <v>37</v>
      </c>
      <c r="U102">
        <v>1</v>
      </c>
      <c r="Y102" t="str">
        <f t="shared" si="6"/>
        <v>('1100',</v>
      </c>
      <c r="Z102" t="str">
        <f t="shared" si="7"/>
        <v>'38°C',</v>
      </c>
      <c r="AA102" t="str">
        <f t="shared" si="7"/>
        <v>'44.9°C',</v>
      </c>
      <c r="AB102" s="22" t="str">
        <f t="shared" si="8"/>
        <v>'21%',</v>
      </c>
      <c r="AC102" s="22" t="str">
        <f t="shared" si="8"/>
        <v>'40%',</v>
      </c>
      <c r="AD102" s="28" t="str">
        <f t="shared" si="9"/>
        <v>'614',</v>
      </c>
      <c r="AE102" s="28" t="str">
        <f t="shared" si="9"/>
        <v>'818',</v>
      </c>
      <c r="AF102" t="str">
        <f t="shared" si="10"/>
        <v>'100',</v>
      </c>
      <c r="AG102" t="str">
        <f t="shared" si="11"/>
        <v>'15% din umiditate este folosita pentru crestere, 85% se pierde prin evaporare si transpiratie.'),</v>
      </c>
      <c r="AL102" s="25">
        <v>6.14</v>
      </c>
      <c r="AM102" s="25">
        <v>8.18</v>
      </c>
      <c r="AX102">
        <v>1100</v>
      </c>
      <c r="AY102" t="s">
        <v>128</v>
      </c>
      <c r="AZ102" t="s">
        <v>129</v>
      </c>
      <c r="BA102" s="22">
        <v>0.21</v>
      </c>
      <c r="BB102" s="22">
        <v>0.4</v>
      </c>
      <c r="BD102">
        <v>100</v>
      </c>
      <c r="BE102" t="s">
        <v>130</v>
      </c>
    </row>
    <row r="103" spans="1:57" x14ac:dyDescent="0.35">
      <c r="S103">
        <v>3</v>
      </c>
      <c r="T103" t="s">
        <v>52</v>
      </c>
      <c r="U103">
        <v>1</v>
      </c>
      <c r="Y103" t="str">
        <f t="shared" si="6"/>
        <v>('1101',</v>
      </c>
      <c r="Z103" t="str">
        <f t="shared" si="7"/>
        <v>'38°C',</v>
      </c>
      <c r="AA103" t="str">
        <f t="shared" si="7"/>
        <v>'44.9°C',</v>
      </c>
      <c r="AB103" s="22" t="str">
        <f t="shared" si="8"/>
        <v>'21%',</v>
      </c>
      <c r="AC103" s="22" t="str">
        <f t="shared" si="8"/>
        <v>'40%',</v>
      </c>
      <c r="AD103" s="28" t="str">
        <f t="shared" si="9"/>
        <v>'819',</v>
      </c>
      <c r="AE103" s="28" t="str">
        <f t="shared" si="9"/>
        <v>'1024',</v>
      </c>
      <c r="AF103" t="str">
        <f t="shared" si="10"/>
        <v>'101',</v>
      </c>
      <c r="AG103" t="str">
        <f t="shared" si="11"/>
        <v>'15% din umiditate este folosita pentru crestere, 85% se pierde prin evaporare si transpiratie.'),</v>
      </c>
      <c r="AL103" s="25">
        <v>8.19</v>
      </c>
      <c r="AM103" s="25">
        <v>10.24</v>
      </c>
      <c r="AX103">
        <v>1101</v>
      </c>
      <c r="AY103" t="s">
        <v>128</v>
      </c>
      <c r="AZ103" t="s">
        <v>129</v>
      </c>
      <c r="BA103" s="22">
        <v>0.21</v>
      </c>
      <c r="BB103" s="22">
        <v>0.4</v>
      </c>
      <c r="BD103">
        <v>101</v>
      </c>
      <c r="BE103" t="s">
        <v>130</v>
      </c>
    </row>
    <row r="104" spans="1:57" x14ac:dyDescent="0.35">
      <c r="S104">
        <v>30</v>
      </c>
      <c r="T104" t="s">
        <v>38</v>
      </c>
      <c r="U104">
        <v>1</v>
      </c>
      <c r="Y104" t="str">
        <f t="shared" si="6"/>
        <v>('1102',</v>
      </c>
      <c r="Z104" t="str">
        <f t="shared" si="7"/>
        <v>'38°C',</v>
      </c>
      <c r="AA104" t="str">
        <f t="shared" si="7"/>
        <v>'44.9°C',</v>
      </c>
      <c r="AB104" s="22" t="str">
        <f t="shared" si="8"/>
        <v>'21%',</v>
      </c>
      <c r="AC104" s="22" t="str">
        <f t="shared" si="8"/>
        <v>'40%',</v>
      </c>
      <c r="AD104" s="28" t="str">
        <f t="shared" si="9"/>
        <v>'614',</v>
      </c>
      <c r="AE104" s="28" t="str">
        <f t="shared" si="9"/>
        <v>'818',</v>
      </c>
      <c r="AF104" t="str">
        <f t="shared" si="10"/>
        <v>'102',</v>
      </c>
      <c r="AG104" t="str">
        <f t="shared" si="11"/>
        <v>'15% din umiditate este folosita pentru crestere, 85% se pierde prin evaporare si transpiratie.'),</v>
      </c>
      <c r="AL104" s="25">
        <v>6.14</v>
      </c>
      <c r="AM104" s="25">
        <v>8.18</v>
      </c>
      <c r="AX104">
        <v>1102</v>
      </c>
      <c r="AY104" t="s">
        <v>128</v>
      </c>
      <c r="AZ104" t="s">
        <v>129</v>
      </c>
      <c r="BA104" s="22">
        <v>0.21</v>
      </c>
      <c r="BB104" s="22">
        <v>0.4</v>
      </c>
      <c r="BD104">
        <v>102</v>
      </c>
      <c r="BE104" t="s">
        <v>130</v>
      </c>
    </row>
    <row r="105" spans="1:57" x14ac:dyDescent="0.35">
      <c r="S105">
        <v>31</v>
      </c>
      <c r="T105" t="s">
        <v>39</v>
      </c>
      <c r="U105">
        <v>1</v>
      </c>
      <c r="Y105" t="str">
        <f t="shared" si="6"/>
        <v>('1103',</v>
      </c>
      <c r="Z105" t="str">
        <f t="shared" si="7"/>
        <v>'38°C',</v>
      </c>
      <c r="AA105" t="str">
        <f t="shared" si="7"/>
        <v>'44.9°C',</v>
      </c>
      <c r="AB105" s="22" t="str">
        <f t="shared" si="8"/>
        <v>'21%',</v>
      </c>
      <c r="AC105" s="22" t="str">
        <f t="shared" si="8"/>
        <v>'40%',</v>
      </c>
      <c r="AD105" s="28" t="str">
        <f t="shared" si="9"/>
        <v>'614',</v>
      </c>
      <c r="AE105" s="28" t="str">
        <f t="shared" si="9"/>
        <v>'818',</v>
      </c>
      <c r="AF105" t="str">
        <f t="shared" si="10"/>
        <v>'103',</v>
      </c>
      <c r="AG105" t="str">
        <f t="shared" si="11"/>
        <v>'15% din umiditate este folosita pentru crestere, 85% se pierde prin evaporare si transpiratie.'),</v>
      </c>
      <c r="AL105" s="25">
        <v>6.14</v>
      </c>
      <c r="AM105" s="25">
        <v>8.18</v>
      </c>
      <c r="AX105">
        <v>1103</v>
      </c>
      <c r="AY105" t="s">
        <v>128</v>
      </c>
      <c r="AZ105" t="s">
        <v>129</v>
      </c>
      <c r="BA105" s="22">
        <v>0.21</v>
      </c>
      <c r="BB105" s="22">
        <v>0.4</v>
      </c>
      <c r="BD105">
        <v>103</v>
      </c>
      <c r="BE105" t="s">
        <v>130</v>
      </c>
    </row>
    <row r="106" spans="1:57" x14ac:dyDescent="0.35">
      <c r="S106">
        <v>32</v>
      </c>
      <c r="T106" t="s">
        <v>40</v>
      </c>
      <c r="U106">
        <v>1</v>
      </c>
      <c r="Y106" t="str">
        <f t="shared" si="6"/>
        <v>('1104',</v>
      </c>
      <c r="Z106" t="str">
        <f t="shared" si="7"/>
        <v>'38°C',</v>
      </c>
      <c r="AA106" t="str">
        <f t="shared" si="7"/>
        <v>'44.9°C',</v>
      </c>
      <c r="AB106" s="22" t="str">
        <f t="shared" si="8"/>
        <v>'21%',</v>
      </c>
      <c r="AC106" s="22" t="str">
        <f t="shared" si="8"/>
        <v>'40%',</v>
      </c>
      <c r="AD106" s="28" t="str">
        <f t="shared" si="9"/>
        <v>'614',</v>
      </c>
      <c r="AE106" s="28" t="str">
        <f t="shared" si="9"/>
        <v>'818',</v>
      </c>
      <c r="AF106" t="str">
        <f t="shared" si="10"/>
        <v>'104',</v>
      </c>
      <c r="AG106" t="str">
        <f t="shared" si="11"/>
        <v>'15% din umiditate este folosita pentru crestere, 85% se pierde prin evaporare si transpiratie.'),</v>
      </c>
      <c r="AL106" s="25">
        <v>6.14</v>
      </c>
      <c r="AM106" s="25">
        <v>8.18</v>
      </c>
      <c r="AX106">
        <v>1104</v>
      </c>
      <c r="AY106" t="s">
        <v>128</v>
      </c>
      <c r="AZ106" t="s">
        <v>129</v>
      </c>
      <c r="BA106" s="22">
        <v>0.21</v>
      </c>
      <c r="BB106" s="22">
        <v>0.4</v>
      </c>
      <c r="BD106">
        <v>104</v>
      </c>
      <c r="BE106" t="s">
        <v>130</v>
      </c>
    </row>
    <row r="107" spans="1:57" x14ac:dyDescent="0.35">
      <c r="S107">
        <v>33</v>
      </c>
      <c r="T107" t="s">
        <v>41</v>
      </c>
      <c r="U107">
        <v>1</v>
      </c>
      <c r="Y107" t="str">
        <f t="shared" si="6"/>
        <v>('1105',</v>
      </c>
      <c r="Z107" t="str">
        <f t="shared" si="7"/>
        <v>'38°C',</v>
      </c>
      <c r="AA107" t="str">
        <f t="shared" si="7"/>
        <v>'44.9°C',</v>
      </c>
      <c r="AB107" s="22" t="str">
        <f t="shared" si="8"/>
        <v>'21%',</v>
      </c>
      <c r="AC107" s="22" t="str">
        <f t="shared" si="8"/>
        <v>'40%',</v>
      </c>
      <c r="AD107" s="28" t="str">
        <f t="shared" si="9"/>
        <v>'614',</v>
      </c>
      <c r="AE107" s="28" t="str">
        <f t="shared" si="9"/>
        <v>'818',</v>
      </c>
      <c r="AF107" t="str">
        <f t="shared" si="10"/>
        <v>'105',</v>
      </c>
      <c r="AG107" t="str">
        <f t="shared" si="11"/>
        <v>'15% din umiditate este folosita pentru crestere, 85% se pierde prin evaporare si transpiratie.'),</v>
      </c>
      <c r="AL107" s="25">
        <v>6.14</v>
      </c>
      <c r="AM107" s="25">
        <v>8.18</v>
      </c>
      <c r="AX107">
        <v>1105</v>
      </c>
      <c r="AY107" t="s">
        <v>128</v>
      </c>
      <c r="AZ107" t="s">
        <v>129</v>
      </c>
      <c r="BA107" s="22">
        <v>0.21</v>
      </c>
      <c r="BB107" s="22">
        <v>0.4</v>
      </c>
      <c r="BD107">
        <v>105</v>
      </c>
      <c r="BE107" t="s">
        <v>130</v>
      </c>
    </row>
    <row r="108" spans="1:57" x14ac:dyDescent="0.35">
      <c r="S108">
        <v>34</v>
      </c>
      <c r="T108" t="s">
        <v>42</v>
      </c>
      <c r="U108">
        <v>1</v>
      </c>
      <c r="Y108" t="str">
        <f t="shared" si="6"/>
        <v>('1106',</v>
      </c>
      <c r="Z108" t="str">
        <f t="shared" si="7"/>
        <v>'38°C',</v>
      </c>
      <c r="AA108" t="str">
        <f t="shared" si="7"/>
        <v>'44.9°C',</v>
      </c>
      <c r="AB108" s="22" t="str">
        <f t="shared" si="8"/>
        <v>'21%',</v>
      </c>
      <c r="AC108" s="22" t="str">
        <f t="shared" si="8"/>
        <v>'40%',</v>
      </c>
      <c r="AD108" s="28" t="str">
        <f t="shared" si="9"/>
        <v>'614',</v>
      </c>
      <c r="AE108" s="28" t="str">
        <f t="shared" si="9"/>
        <v>'818',</v>
      </c>
      <c r="AF108" t="str">
        <f t="shared" si="10"/>
        <v>'106',</v>
      </c>
      <c r="AG108" t="str">
        <f t="shared" si="11"/>
        <v>'15% din umiditate este folosita pentru crestere, 85% se pierde prin evaporare si transpiratie.'),</v>
      </c>
      <c r="AL108" s="25">
        <v>6.14</v>
      </c>
      <c r="AM108" s="25">
        <v>8.18</v>
      </c>
      <c r="AX108">
        <v>1106</v>
      </c>
      <c r="AY108" t="s">
        <v>128</v>
      </c>
      <c r="AZ108" t="s">
        <v>129</v>
      </c>
      <c r="BA108" s="22">
        <v>0.21</v>
      </c>
      <c r="BB108" s="22">
        <v>0.4</v>
      </c>
      <c r="BD108">
        <v>106</v>
      </c>
      <c r="BE108" t="s">
        <v>130</v>
      </c>
    </row>
    <row r="109" spans="1:57" x14ac:dyDescent="0.35">
      <c r="S109">
        <v>35</v>
      </c>
      <c r="T109" t="s">
        <v>43</v>
      </c>
      <c r="U109">
        <v>1</v>
      </c>
      <c r="Y109" t="str">
        <f t="shared" si="6"/>
        <v>('1107',</v>
      </c>
      <c r="Z109" t="str">
        <f t="shared" si="7"/>
        <v>'38°C',</v>
      </c>
      <c r="AA109" t="str">
        <f t="shared" si="7"/>
        <v>'44.9°C',</v>
      </c>
      <c r="AB109" s="22" t="str">
        <f t="shared" si="8"/>
        <v>'21%',</v>
      </c>
      <c r="AC109" s="22" t="str">
        <f t="shared" si="8"/>
        <v>'40%',</v>
      </c>
      <c r="AD109" s="28" t="str">
        <f t="shared" si="9"/>
        <v>'614',</v>
      </c>
      <c r="AE109" s="28" t="str">
        <f t="shared" si="9"/>
        <v>'818',</v>
      </c>
      <c r="AF109" t="str">
        <f t="shared" si="10"/>
        <v>'107',</v>
      </c>
      <c r="AG109" t="str">
        <f t="shared" si="11"/>
        <v>'15% din umiditate este folosita pentru crestere, 85% se pierde prin evaporare si transpiratie.'),</v>
      </c>
      <c r="AL109" s="25">
        <v>6.14</v>
      </c>
      <c r="AM109" s="25">
        <v>8.18</v>
      </c>
      <c r="AX109">
        <v>1107</v>
      </c>
      <c r="AY109" t="s">
        <v>128</v>
      </c>
      <c r="AZ109" t="s">
        <v>129</v>
      </c>
      <c r="BA109" s="22">
        <v>0.21</v>
      </c>
      <c r="BB109" s="22">
        <v>0.4</v>
      </c>
      <c r="BD109">
        <v>107</v>
      </c>
      <c r="BE109" t="s">
        <v>130</v>
      </c>
    </row>
    <row r="110" spans="1:57" x14ac:dyDescent="0.35">
      <c r="S110">
        <v>36</v>
      </c>
      <c r="T110" t="s">
        <v>44</v>
      </c>
      <c r="U110">
        <v>1</v>
      </c>
      <c r="Y110" t="str">
        <f t="shared" si="6"/>
        <v>('1108',</v>
      </c>
      <c r="Z110" t="str">
        <f t="shared" si="7"/>
        <v>'38°C',</v>
      </c>
      <c r="AA110" t="str">
        <f t="shared" si="7"/>
        <v>'44.9°C',</v>
      </c>
      <c r="AB110" s="22" t="str">
        <f t="shared" si="8"/>
        <v>'21%',</v>
      </c>
      <c r="AC110" s="22" t="str">
        <f t="shared" si="8"/>
        <v>'40%',</v>
      </c>
      <c r="AD110" s="28" t="str">
        <f t="shared" si="9"/>
        <v>'614',</v>
      </c>
      <c r="AE110" s="28" t="str">
        <f t="shared" si="9"/>
        <v>'818',</v>
      </c>
      <c r="AF110" t="str">
        <f t="shared" si="10"/>
        <v>'108',</v>
      </c>
      <c r="AG110" t="str">
        <f t="shared" si="11"/>
        <v>'15% din umiditate este folosita pentru crestere, 85% se pierde prin evaporare si transpiratie.'),</v>
      </c>
      <c r="AL110" s="25">
        <v>6.14</v>
      </c>
      <c r="AM110" s="25">
        <v>8.18</v>
      </c>
      <c r="AX110">
        <v>1108</v>
      </c>
      <c r="AY110" t="s">
        <v>128</v>
      </c>
      <c r="AZ110" t="s">
        <v>129</v>
      </c>
      <c r="BA110" s="22">
        <v>0.21</v>
      </c>
      <c r="BB110" s="22">
        <v>0.4</v>
      </c>
      <c r="BD110">
        <v>108</v>
      </c>
      <c r="BE110" t="s">
        <v>130</v>
      </c>
    </row>
    <row r="111" spans="1:57" x14ac:dyDescent="0.35">
      <c r="S111">
        <v>37</v>
      </c>
      <c r="T111" t="s">
        <v>45</v>
      </c>
      <c r="U111">
        <v>1</v>
      </c>
      <c r="Y111" t="str">
        <f t="shared" si="6"/>
        <v>('1109',</v>
      </c>
      <c r="Z111" t="str">
        <f t="shared" si="7"/>
        <v>'38°C',</v>
      </c>
      <c r="AA111" t="str">
        <f t="shared" si="7"/>
        <v>'44.9°C',</v>
      </c>
      <c r="AB111" s="22" t="str">
        <f t="shared" si="8"/>
        <v>'21%',</v>
      </c>
      <c r="AC111" s="22" t="str">
        <f t="shared" si="8"/>
        <v>'40%',</v>
      </c>
      <c r="AD111" s="28" t="str">
        <f t="shared" si="9"/>
        <v>'614',</v>
      </c>
      <c r="AE111" s="28" t="str">
        <f t="shared" si="9"/>
        <v>'818',</v>
      </c>
      <c r="AF111" t="str">
        <f t="shared" si="10"/>
        <v>'109',</v>
      </c>
      <c r="AG111" t="str">
        <f t="shared" si="11"/>
        <v>'15% din umiditate este folosita pentru crestere, 85% se pierde prin evaporare si transpiratie.'),</v>
      </c>
      <c r="AL111" s="25">
        <v>6.14</v>
      </c>
      <c r="AM111" s="25">
        <v>8.18</v>
      </c>
      <c r="AX111">
        <v>1109</v>
      </c>
      <c r="AY111" t="s">
        <v>128</v>
      </c>
      <c r="AZ111" t="s">
        <v>129</v>
      </c>
      <c r="BA111" s="22">
        <v>0.21</v>
      </c>
      <c r="BB111" s="22">
        <v>0.4</v>
      </c>
      <c r="BD111">
        <v>109</v>
      </c>
      <c r="BE111" t="s">
        <v>130</v>
      </c>
    </row>
    <row r="112" spans="1:57" x14ac:dyDescent="0.35">
      <c r="S112">
        <v>38</v>
      </c>
      <c r="T112" t="s">
        <v>46</v>
      </c>
      <c r="U112">
        <v>1</v>
      </c>
      <c r="Y112" t="str">
        <f t="shared" si="6"/>
        <v>('1110',</v>
      </c>
      <c r="Z112" t="str">
        <f t="shared" si="7"/>
        <v>'38°C',</v>
      </c>
      <c r="AA112" t="str">
        <f t="shared" si="7"/>
        <v>'44.9°C',</v>
      </c>
      <c r="AB112" s="22" t="str">
        <f t="shared" si="8"/>
        <v>'21%',</v>
      </c>
      <c r="AC112" s="22" t="str">
        <f t="shared" si="8"/>
        <v>'40%',</v>
      </c>
      <c r="AD112" s="28" t="str">
        <f t="shared" si="9"/>
        <v>'614',</v>
      </c>
      <c r="AE112" s="28" t="str">
        <f t="shared" si="9"/>
        <v>'818',</v>
      </c>
      <c r="AF112" t="str">
        <f t="shared" si="10"/>
        <v>'110',</v>
      </c>
      <c r="AG112" t="str">
        <f t="shared" si="11"/>
        <v>'15% din umiditate este folosita pentru crestere, 85% se pierde prin evaporare si transpiratie.'),</v>
      </c>
      <c r="AL112" s="25">
        <v>6.14</v>
      </c>
      <c r="AM112" s="25">
        <v>8.18</v>
      </c>
      <c r="AX112">
        <v>1110</v>
      </c>
      <c r="AY112" t="s">
        <v>128</v>
      </c>
      <c r="AZ112" t="s">
        <v>129</v>
      </c>
      <c r="BA112" s="22">
        <v>0.21</v>
      </c>
      <c r="BB112" s="22">
        <v>0.4</v>
      </c>
      <c r="BD112">
        <v>110</v>
      </c>
      <c r="BE112" t="s">
        <v>130</v>
      </c>
    </row>
    <row r="113" spans="19:57" x14ac:dyDescent="0.35">
      <c r="S113">
        <v>39</v>
      </c>
      <c r="T113" t="s">
        <v>47</v>
      </c>
      <c r="U113">
        <v>1</v>
      </c>
      <c r="Y113" t="str">
        <f t="shared" si="6"/>
        <v>('1111',</v>
      </c>
      <c r="Z113" t="str">
        <f t="shared" si="7"/>
        <v>'38°C',</v>
      </c>
      <c r="AA113" t="str">
        <f t="shared" si="7"/>
        <v>'44.9°C',</v>
      </c>
      <c r="AB113" s="22" t="str">
        <f t="shared" si="8"/>
        <v>'21%',</v>
      </c>
      <c r="AC113" s="22" t="str">
        <f t="shared" si="8"/>
        <v>'40%',</v>
      </c>
      <c r="AD113" s="28" t="str">
        <f t="shared" si="9"/>
        <v>'614',</v>
      </c>
      <c r="AE113" s="28" t="str">
        <f t="shared" si="9"/>
        <v>'818',</v>
      </c>
      <c r="AF113" t="str">
        <f t="shared" si="10"/>
        <v>'111',</v>
      </c>
      <c r="AG113" t="str">
        <f t="shared" si="11"/>
        <v>'15% din umiditate este folosita pentru crestere, 85% se pierde prin evaporare si transpiratie.'),</v>
      </c>
      <c r="AL113" s="25">
        <v>6.14</v>
      </c>
      <c r="AM113" s="25">
        <v>8.18</v>
      </c>
      <c r="AX113">
        <v>1111</v>
      </c>
      <c r="AY113" t="s">
        <v>128</v>
      </c>
      <c r="AZ113" t="s">
        <v>129</v>
      </c>
      <c r="BA113" s="22">
        <v>0.21</v>
      </c>
      <c r="BB113" s="22">
        <v>0.4</v>
      </c>
      <c r="BD113">
        <v>111</v>
      </c>
      <c r="BE113" t="s">
        <v>130</v>
      </c>
    </row>
    <row r="114" spans="19:57" x14ac:dyDescent="0.35">
      <c r="S114">
        <v>4</v>
      </c>
      <c r="T114" t="s">
        <v>56</v>
      </c>
      <c r="U114">
        <v>1</v>
      </c>
      <c r="Y114" t="str">
        <f t="shared" si="6"/>
        <v>('1112',</v>
      </c>
      <c r="Z114" t="str">
        <f t="shared" si="7"/>
        <v>'38°C',</v>
      </c>
      <c r="AA114" t="str">
        <f t="shared" si="7"/>
        <v>'44.9°C',</v>
      </c>
      <c r="AB114" s="22" t="str">
        <f t="shared" si="8"/>
        <v>'21%',</v>
      </c>
      <c r="AC114" s="22" t="str">
        <f t="shared" si="8"/>
        <v>'40%',</v>
      </c>
      <c r="AD114" s="28" t="str">
        <f t="shared" si="9"/>
        <v>'819',</v>
      </c>
      <c r="AE114" s="28" t="str">
        <f t="shared" si="9"/>
        <v>'1024',</v>
      </c>
      <c r="AF114" t="str">
        <f t="shared" si="10"/>
        <v>'112',</v>
      </c>
      <c r="AG114" t="str">
        <f t="shared" si="11"/>
        <v>'15% din umiditate este folosita pentru crestere, 85% se pierde prin evaporare si transpiratie.'),</v>
      </c>
      <c r="AL114" s="25">
        <v>8.19</v>
      </c>
      <c r="AM114" s="25">
        <v>10.24</v>
      </c>
      <c r="AX114">
        <v>1112</v>
      </c>
      <c r="AY114" t="s">
        <v>128</v>
      </c>
      <c r="AZ114" t="s">
        <v>129</v>
      </c>
      <c r="BA114" s="22">
        <v>0.21</v>
      </c>
      <c r="BB114" s="22">
        <v>0.4</v>
      </c>
      <c r="BD114">
        <v>112</v>
      </c>
      <c r="BE114" t="s">
        <v>130</v>
      </c>
    </row>
    <row r="115" spans="19:57" x14ac:dyDescent="0.35">
      <c r="S115">
        <v>40</v>
      </c>
      <c r="T115" t="s">
        <v>48</v>
      </c>
      <c r="U115">
        <v>1</v>
      </c>
      <c r="Y115" t="str">
        <f t="shared" si="6"/>
        <v>('1113',</v>
      </c>
      <c r="Z115" t="str">
        <f t="shared" si="7"/>
        <v>'38°C',</v>
      </c>
      <c r="AA115" t="str">
        <f t="shared" si="7"/>
        <v>'44.9°C',</v>
      </c>
      <c r="AB115" s="22" t="str">
        <f t="shared" si="8"/>
        <v>'21%',</v>
      </c>
      <c r="AC115" s="22" t="str">
        <f t="shared" si="8"/>
        <v>'40%',</v>
      </c>
      <c r="AD115" s="28" t="str">
        <f t="shared" si="9"/>
        <v>'614',</v>
      </c>
      <c r="AE115" s="28" t="str">
        <f t="shared" si="9"/>
        <v>'818',</v>
      </c>
      <c r="AF115" t="str">
        <f t="shared" si="10"/>
        <v>'113',</v>
      </c>
      <c r="AG115" t="str">
        <f t="shared" si="11"/>
        <v>'15% din umiditate este folosita pentru crestere, 85% se pierde prin evaporare si transpiratie.'),</v>
      </c>
      <c r="AL115" s="25">
        <v>6.14</v>
      </c>
      <c r="AM115" s="25">
        <v>8.18</v>
      </c>
      <c r="AX115">
        <v>1113</v>
      </c>
      <c r="AY115" t="s">
        <v>128</v>
      </c>
      <c r="AZ115" t="s">
        <v>129</v>
      </c>
      <c r="BA115" s="22">
        <v>0.21</v>
      </c>
      <c r="BB115" s="22">
        <v>0.4</v>
      </c>
      <c r="BD115">
        <v>113</v>
      </c>
      <c r="BE115" t="s">
        <v>130</v>
      </c>
    </row>
    <row r="116" spans="19:57" x14ac:dyDescent="0.35">
      <c r="S116">
        <v>41</v>
      </c>
      <c r="T116" t="s">
        <v>49</v>
      </c>
      <c r="U116">
        <v>1</v>
      </c>
      <c r="Y116" t="str">
        <f t="shared" si="6"/>
        <v>('1114',</v>
      </c>
      <c r="Z116" t="str">
        <f t="shared" si="7"/>
        <v>'38°C',</v>
      </c>
      <c r="AA116" t="str">
        <f t="shared" si="7"/>
        <v>'44.9°C',</v>
      </c>
      <c r="AB116" s="22" t="str">
        <f t="shared" si="8"/>
        <v>'21%',</v>
      </c>
      <c r="AC116" s="22" t="str">
        <f t="shared" si="8"/>
        <v>'40%',</v>
      </c>
      <c r="AD116" s="28" t="str">
        <f t="shared" si="9"/>
        <v>'614',</v>
      </c>
      <c r="AE116" s="28" t="str">
        <f t="shared" si="9"/>
        <v>'818',</v>
      </c>
      <c r="AF116" t="str">
        <f t="shared" si="10"/>
        <v>'114',</v>
      </c>
      <c r="AG116" t="str">
        <f t="shared" si="11"/>
        <v>'15% din umiditate este folosita pentru crestere, 85% se pierde prin evaporare si transpiratie.'),</v>
      </c>
      <c r="AL116" s="25">
        <v>6.14</v>
      </c>
      <c r="AM116" s="25">
        <v>8.18</v>
      </c>
      <c r="AX116">
        <v>1114</v>
      </c>
      <c r="AY116" t="s">
        <v>128</v>
      </c>
      <c r="AZ116" t="s">
        <v>129</v>
      </c>
      <c r="BA116" s="22">
        <v>0.21</v>
      </c>
      <c r="BB116" s="22">
        <v>0.4</v>
      </c>
      <c r="BD116">
        <v>114</v>
      </c>
      <c r="BE116" t="s">
        <v>130</v>
      </c>
    </row>
    <row r="117" spans="19:57" x14ac:dyDescent="0.35">
      <c r="S117">
        <v>42</v>
      </c>
      <c r="T117" t="s">
        <v>50</v>
      </c>
      <c r="U117">
        <v>1</v>
      </c>
      <c r="Y117" t="str">
        <f t="shared" si="6"/>
        <v>('1115',</v>
      </c>
      <c r="Z117" t="str">
        <f t="shared" si="7"/>
        <v>'38°C',</v>
      </c>
      <c r="AA117" t="str">
        <f t="shared" si="7"/>
        <v>'44.9°C',</v>
      </c>
      <c r="AB117" s="22" t="str">
        <f t="shared" si="8"/>
        <v>'21%',</v>
      </c>
      <c r="AC117" s="22" t="str">
        <f t="shared" si="8"/>
        <v>'40%',</v>
      </c>
      <c r="AD117" s="28" t="str">
        <f t="shared" si="9"/>
        <v>'614',</v>
      </c>
      <c r="AE117" s="28" t="str">
        <f t="shared" si="9"/>
        <v>'818',</v>
      </c>
      <c r="AF117" t="str">
        <f t="shared" si="10"/>
        <v>'115',</v>
      </c>
      <c r="AG117" t="str">
        <f t="shared" si="11"/>
        <v>'15% din umiditate este folosita pentru crestere, 85% se pierde prin evaporare si transpiratie.'),</v>
      </c>
      <c r="AL117" s="25">
        <v>6.14</v>
      </c>
      <c r="AM117" s="25">
        <v>8.18</v>
      </c>
      <c r="AX117">
        <v>1115</v>
      </c>
      <c r="AY117" t="s">
        <v>128</v>
      </c>
      <c r="AZ117" t="s">
        <v>129</v>
      </c>
      <c r="BA117" s="22">
        <v>0.21</v>
      </c>
      <c r="BB117" s="22">
        <v>0.4</v>
      </c>
      <c r="BD117">
        <v>115</v>
      </c>
      <c r="BE117" t="s">
        <v>130</v>
      </c>
    </row>
    <row r="118" spans="19:57" x14ac:dyDescent="0.35">
      <c r="S118">
        <v>43</v>
      </c>
      <c r="T118" t="s">
        <v>51</v>
      </c>
      <c r="U118">
        <v>1</v>
      </c>
      <c r="Y118" t="str">
        <f t="shared" si="6"/>
        <v>('1116',</v>
      </c>
      <c r="Z118" t="str">
        <f t="shared" si="7"/>
        <v>'38°C',</v>
      </c>
      <c r="AA118" t="str">
        <f t="shared" si="7"/>
        <v>'44.9°C',</v>
      </c>
      <c r="AB118" s="22" t="str">
        <f t="shared" si="8"/>
        <v>'21%',</v>
      </c>
      <c r="AC118" s="22" t="str">
        <f t="shared" si="8"/>
        <v>'40%',</v>
      </c>
      <c r="AD118" s="28" t="str">
        <f t="shared" si="9"/>
        <v>'614',</v>
      </c>
      <c r="AE118" s="28" t="str">
        <f t="shared" si="9"/>
        <v>'818',</v>
      </c>
      <c r="AF118" t="str">
        <f t="shared" si="10"/>
        <v>'116',</v>
      </c>
      <c r="AG118" t="str">
        <f t="shared" si="11"/>
        <v>'15% din umiditate este folosita pentru crestere, 85% se pierde prin evaporare si transpiratie.'),</v>
      </c>
      <c r="AL118" s="25">
        <v>6.14</v>
      </c>
      <c r="AM118" s="25">
        <v>8.18</v>
      </c>
      <c r="AX118">
        <v>1116</v>
      </c>
      <c r="AY118" t="s">
        <v>128</v>
      </c>
      <c r="AZ118" t="s">
        <v>129</v>
      </c>
      <c r="BA118" s="22">
        <v>0.21</v>
      </c>
      <c r="BB118" s="22">
        <v>0.4</v>
      </c>
      <c r="BD118">
        <v>116</v>
      </c>
      <c r="BE118" t="s">
        <v>130</v>
      </c>
    </row>
    <row r="119" spans="19:57" x14ac:dyDescent="0.35">
      <c r="S119">
        <v>44</v>
      </c>
      <c r="T119" t="s">
        <v>52</v>
      </c>
      <c r="U119">
        <v>1</v>
      </c>
      <c r="Y119" t="str">
        <f t="shared" si="6"/>
        <v>('1117',</v>
      </c>
      <c r="Z119" t="str">
        <f t="shared" si="7"/>
        <v>'38°C',</v>
      </c>
      <c r="AA119" t="str">
        <f t="shared" si="7"/>
        <v>'44.9°C',</v>
      </c>
      <c r="AB119" s="22" t="str">
        <f t="shared" si="8"/>
        <v>'21%',</v>
      </c>
      <c r="AC119" s="22" t="str">
        <f t="shared" si="8"/>
        <v>'40%',</v>
      </c>
      <c r="AD119" s="28" t="str">
        <f t="shared" si="9"/>
        <v>'614',</v>
      </c>
      <c r="AE119" s="28" t="str">
        <f t="shared" si="9"/>
        <v>'818',</v>
      </c>
      <c r="AF119" t="str">
        <f t="shared" si="10"/>
        <v>'117',</v>
      </c>
      <c r="AG119" t="str">
        <f t="shared" si="11"/>
        <v>'15% din umiditate este folosita pentru crestere, 85% se pierde prin evaporare si transpiratie.'),</v>
      </c>
      <c r="AL119" s="25">
        <v>6.14</v>
      </c>
      <c r="AM119" s="25">
        <v>8.18</v>
      </c>
      <c r="AX119">
        <v>1117</v>
      </c>
      <c r="AY119" t="s">
        <v>128</v>
      </c>
      <c r="AZ119" t="s">
        <v>129</v>
      </c>
      <c r="BA119" s="22">
        <v>0.21</v>
      </c>
      <c r="BB119" s="22">
        <v>0.4</v>
      </c>
      <c r="BD119">
        <v>117</v>
      </c>
      <c r="BE119" t="s">
        <v>130</v>
      </c>
    </row>
    <row r="120" spans="19:57" x14ac:dyDescent="0.35">
      <c r="S120">
        <v>45</v>
      </c>
      <c r="T120" t="s">
        <v>53</v>
      </c>
      <c r="U120">
        <v>1</v>
      </c>
      <c r="Y120" t="str">
        <f t="shared" si="6"/>
        <v>('1118',</v>
      </c>
      <c r="Z120" t="str">
        <f t="shared" si="7"/>
        <v>'38°C',</v>
      </c>
      <c r="AA120" t="str">
        <f t="shared" si="7"/>
        <v>'44.9°C',</v>
      </c>
      <c r="AB120" s="22" t="str">
        <f t="shared" si="8"/>
        <v>'21%',</v>
      </c>
      <c r="AC120" s="22" t="str">
        <f t="shared" si="8"/>
        <v>'40%',</v>
      </c>
      <c r="AD120" s="28" t="str">
        <f t="shared" si="9"/>
        <v>'614',</v>
      </c>
      <c r="AE120" s="28" t="str">
        <f t="shared" si="9"/>
        <v>'818',</v>
      </c>
      <c r="AF120" t="str">
        <f t="shared" si="10"/>
        <v>'118',</v>
      </c>
      <c r="AG120" t="str">
        <f t="shared" si="11"/>
        <v>'15% din umiditate este folosita pentru crestere, 85% se pierde prin evaporare si transpiratie.'),</v>
      </c>
      <c r="AL120" s="25">
        <v>6.14</v>
      </c>
      <c r="AM120" s="25">
        <v>8.18</v>
      </c>
      <c r="AX120">
        <v>1118</v>
      </c>
      <c r="AY120" t="s">
        <v>128</v>
      </c>
      <c r="AZ120" t="s">
        <v>129</v>
      </c>
      <c r="BA120" s="22">
        <v>0.21</v>
      </c>
      <c r="BB120" s="22">
        <v>0.4</v>
      </c>
      <c r="BD120">
        <v>118</v>
      </c>
      <c r="BE120" t="s">
        <v>130</v>
      </c>
    </row>
    <row r="121" spans="19:57" x14ac:dyDescent="0.35">
      <c r="S121">
        <v>46</v>
      </c>
      <c r="T121" t="s">
        <v>54</v>
      </c>
      <c r="U121">
        <v>1</v>
      </c>
      <c r="Y121" t="str">
        <f t="shared" si="6"/>
        <v>('1119',</v>
      </c>
      <c r="Z121" t="str">
        <f t="shared" si="7"/>
        <v>'38°C',</v>
      </c>
      <c r="AA121" t="str">
        <f t="shared" si="7"/>
        <v>'44.9°C',</v>
      </c>
      <c r="AB121" s="22" t="str">
        <f t="shared" si="8"/>
        <v>'21%',</v>
      </c>
      <c r="AC121" s="22" t="str">
        <f t="shared" si="8"/>
        <v>'40%',</v>
      </c>
      <c r="AD121" s="28" t="str">
        <f t="shared" si="9"/>
        <v>'614',</v>
      </c>
      <c r="AE121" s="28" t="str">
        <f t="shared" si="9"/>
        <v>'818',</v>
      </c>
      <c r="AF121" t="str">
        <f t="shared" si="10"/>
        <v>'119',</v>
      </c>
      <c r="AG121" t="str">
        <f t="shared" si="11"/>
        <v>'15% din umiditate este folosita pentru crestere, 85% se pierde prin evaporare si transpiratie.'),</v>
      </c>
      <c r="AL121" s="25">
        <v>6.14</v>
      </c>
      <c r="AM121" s="25">
        <v>8.18</v>
      </c>
      <c r="AX121">
        <v>1119</v>
      </c>
      <c r="AY121" t="s">
        <v>128</v>
      </c>
      <c r="AZ121" t="s">
        <v>129</v>
      </c>
      <c r="BA121" s="22">
        <v>0.21</v>
      </c>
      <c r="BB121" s="22">
        <v>0.4</v>
      </c>
      <c r="BD121">
        <v>119</v>
      </c>
      <c r="BE121" t="s">
        <v>130</v>
      </c>
    </row>
    <row r="122" spans="19:57" x14ac:dyDescent="0.35">
      <c r="S122">
        <v>47</v>
      </c>
      <c r="T122" t="s">
        <v>55</v>
      </c>
      <c r="U122">
        <v>1</v>
      </c>
      <c r="Y122" t="str">
        <f t="shared" si="6"/>
        <v>('1120',</v>
      </c>
      <c r="Z122" t="str">
        <f t="shared" si="7"/>
        <v>'38°C',</v>
      </c>
      <c r="AA122" t="str">
        <f t="shared" si="7"/>
        <v>'44.9°C',</v>
      </c>
      <c r="AB122" s="22" t="str">
        <f t="shared" si="8"/>
        <v>'21%',</v>
      </c>
      <c r="AC122" s="22" t="str">
        <f t="shared" si="8"/>
        <v>'40%',</v>
      </c>
      <c r="AD122" s="28" t="str">
        <f t="shared" si="9"/>
        <v>'614',</v>
      </c>
      <c r="AE122" s="28" t="str">
        <f t="shared" si="9"/>
        <v>'818',</v>
      </c>
      <c r="AF122" t="str">
        <f t="shared" si="10"/>
        <v>'120',</v>
      </c>
      <c r="AG122" t="str">
        <f t="shared" si="11"/>
        <v>'15% din umiditate este folosita pentru crestere, 85% se pierde prin evaporare si transpiratie.'),</v>
      </c>
      <c r="AL122" s="25">
        <v>6.14</v>
      </c>
      <c r="AM122" s="25">
        <v>8.18</v>
      </c>
      <c r="AX122">
        <v>1120</v>
      </c>
      <c r="AY122" t="s">
        <v>128</v>
      </c>
      <c r="AZ122" t="s">
        <v>129</v>
      </c>
      <c r="BA122" s="22">
        <v>0.21</v>
      </c>
      <c r="BB122" s="22">
        <v>0.4</v>
      </c>
      <c r="BD122">
        <v>120</v>
      </c>
      <c r="BE122" t="s">
        <v>130</v>
      </c>
    </row>
    <row r="123" spans="19:57" x14ac:dyDescent="0.35">
      <c r="S123">
        <v>48</v>
      </c>
      <c r="T123" t="s">
        <v>56</v>
      </c>
      <c r="U123">
        <v>1</v>
      </c>
      <c r="Y123" t="str">
        <f t="shared" si="6"/>
        <v>('1121',</v>
      </c>
      <c r="Z123" t="str">
        <f t="shared" si="7"/>
        <v>'38°C',</v>
      </c>
      <c r="AA123" t="str">
        <f t="shared" si="7"/>
        <v>'44.9°C',</v>
      </c>
      <c r="AB123" s="22" t="str">
        <f t="shared" si="8"/>
        <v>'21%',</v>
      </c>
      <c r="AC123" s="22" t="str">
        <f t="shared" si="8"/>
        <v>'40%',</v>
      </c>
      <c r="AD123" s="28" t="str">
        <f t="shared" si="9"/>
        <v>'614',</v>
      </c>
      <c r="AE123" s="28" t="str">
        <f t="shared" si="9"/>
        <v>'818',</v>
      </c>
      <c r="AF123" t="str">
        <f t="shared" si="10"/>
        <v>'121',</v>
      </c>
      <c r="AG123" t="str">
        <f t="shared" si="11"/>
        <v>'15% din umiditate este folosita pentru crestere, 85% se pierde prin evaporare si transpiratie.'),</v>
      </c>
      <c r="AL123" s="25">
        <v>6.14</v>
      </c>
      <c r="AM123" s="25">
        <v>8.18</v>
      </c>
      <c r="AX123">
        <v>1121</v>
      </c>
      <c r="AY123" t="s">
        <v>128</v>
      </c>
      <c r="AZ123" t="s">
        <v>129</v>
      </c>
      <c r="BA123" s="22">
        <v>0.21</v>
      </c>
      <c r="BB123" s="22">
        <v>0.4</v>
      </c>
      <c r="BD123">
        <v>121</v>
      </c>
      <c r="BE123" t="s">
        <v>130</v>
      </c>
    </row>
    <row r="124" spans="19:57" x14ac:dyDescent="0.35">
      <c r="S124">
        <v>49</v>
      </c>
      <c r="T124" t="s">
        <v>58</v>
      </c>
      <c r="U124">
        <v>1</v>
      </c>
      <c r="Y124" t="str">
        <f t="shared" si="6"/>
        <v>('1122',</v>
      </c>
      <c r="Z124" t="str">
        <f t="shared" si="7"/>
        <v>'38°C',</v>
      </c>
      <c r="AA124" t="str">
        <f t="shared" si="7"/>
        <v>'44.9°C',</v>
      </c>
      <c r="AB124" s="22" t="str">
        <f t="shared" si="8"/>
        <v>'21%',</v>
      </c>
      <c r="AC124" s="22" t="str">
        <f t="shared" si="8"/>
        <v>'40%',</v>
      </c>
      <c r="AD124" s="28" t="str">
        <f t="shared" si="9"/>
        <v>'614',</v>
      </c>
      <c r="AE124" s="28" t="str">
        <f t="shared" si="9"/>
        <v>'818',</v>
      </c>
      <c r="AF124" t="str">
        <f t="shared" si="10"/>
        <v>'122',</v>
      </c>
      <c r="AG124" t="str">
        <f t="shared" si="11"/>
        <v>'15% din umiditate este folosita pentru crestere, 85% se pierde prin evaporare si transpiratie.'),</v>
      </c>
      <c r="AL124" s="25">
        <v>6.14</v>
      </c>
      <c r="AM124" s="25">
        <v>8.18</v>
      </c>
      <c r="AX124">
        <v>1122</v>
      </c>
      <c r="AY124" t="s">
        <v>128</v>
      </c>
      <c r="AZ124" t="s">
        <v>129</v>
      </c>
      <c r="BA124" s="22">
        <v>0.21</v>
      </c>
      <c r="BB124" s="22">
        <v>0.4</v>
      </c>
      <c r="BD124">
        <v>122</v>
      </c>
      <c r="BE124" t="s">
        <v>130</v>
      </c>
    </row>
    <row r="125" spans="19:57" x14ac:dyDescent="0.35">
      <c r="S125">
        <v>5</v>
      </c>
      <c r="T125" t="s">
        <v>57</v>
      </c>
      <c r="U125">
        <v>1</v>
      </c>
      <c r="Y125" t="str">
        <f t="shared" si="6"/>
        <v>('1123',</v>
      </c>
      <c r="Z125" t="str">
        <f t="shared" si="7"/>
        <v>'38°C',</v>
      </c>
      <c r="AA125" t="str">
        <f t="shared" si="7"/>
        <v>'44.9°C',</v>
      </c>
      <c r="AB125" s="22" t="str">
        <f t="shared" si="8"/>
        <v>'21%',</v>
      </c>
      <c r="AC125" s="22" t="str">
        <f t="shared" si="8"/>
        <v>'40%',</v>
      </c>
      <c r="AD125" s="28" t="str">
        <f t="shared" si="9"/>
        <v>'819',</v>
      </c>
      <c r="AE125" s="28" t="str">
        <f t="shared" si="9"/>
        <v>'1024',</v>
      </c>
      <c r="AF125" t="str">
        <f t="shared" si="10"/>
        <v>'123',</v>
      </c>
      <c r="AG125" t="str">
        <f t="shared" si="11"/>
        <v>'15% din umiditate este folosita pentru crestere, 85% se pierde prin evaporare si transpiratie.'),</v>
      </c>
      <c r="AL125" s="25">
        <v>8.19</v>
      </c>
      <c r="AM125" s="25">
        <v>10.24</v>
      </c>
      <c r="AX125">
        <v>1123</v>
      </c>
      <c r="AY125" t="s">
        <v>128</v>
      </c>
      <c r="AZ125" t="s">
        <v>129</v>
      </c>
      <c r="BA125" s="22">
        <v>0.21</v>
      </c>
      <c r="BB125" s="22">
        <v>0.4</v>
      </c>
      <c r="BD125">
        <v>123</v>
      </c>
      <c r="BE125" t="s">
        <v>130</v>
      </c>
    </row>
    <row r="126" spans="19:57" x14ac:dyDescent="0.35">
      <c r="S126">
        <v>50</v>
      </c>
      <c r="T126" t="s">
        <v>4</v>
      </c>
      <c r="U126">
        <v>1</v>
      </c>
      <c r="Y126" t="str">
        <f t="shared" si="6"/>
        <v>('1124',</v>
      </c>
      <c r="Z126" t="str">
        <f t="shared" si="7"/>
        <v>'38°C',</v>
      </c>
      <c r="AA126" t="str">
        <f t="shared" si="7"/>
        <v>'44.9°C',</v>
      </c>
      <c r="AB126" s="22" t="str">
        <f t="shared" si="8"/>
        <v>'21%',</v>
      </c>
      <c r="AC126" s="22" t="str">
        <f t="shared" si="8"/>
        <v>'40%',</v>
      </c>
      <c r="AD126" s="28" t="str">
        <f t="shared" si="9"/>
        <v>'410',</v>
      </c>
      <c r="AE126" s="28" t="str">
        <f t="shared" si="9"/>
        <v>'613',</v>
      </c>
      <c r="AF126" t="str">
        <f t="shared" si="10"/>
        <v>'124',</v>
      </c>
      <c r="AG126" t="str">
        <f t="shared" si="11"/>
        <v>'15% din umiditate este folosita pentru crestere, 85% se pierde prin evaporare si transpiratie.'),</v>
      </c>
      <c r="AL126" s="25">
        <v>4.0999999999999996</v>
      </c>
      <c r="AM126" s="25">
        <v>6.13</v>
      </c>
      <c r="AX126">
        <v>1124</v>
      </c>
      <c r="AY126" t="s">
        <v>128</v>
      </c>
      <c r="AZ126" t="s">
        <v>129</v>
      </c>
      <c r="BA126" s="22">
        <v>0.21</v>
      </c>
      <c r="BB126" s="22">
        <v>0.4</v>
      </c>
      <c r="BD126">
        <v>124</v>
      </c>
      <c r="BE126" t="s">
        <v>130</v>
      </c>
    </row>
    <row r="127" spans="19:57" x14ac:dyDescent="0.35">
      <c r="S127">
        <v>51</v>
      </c>
      <c r="T127" t="s">
        <v>5</v>
      </c>
      <c r="U127">
        <v>1</v>
      </c>
      <c r="Y127" t="str">
        <f t="shared" si="6"/>
        <v>('1125',</v>
      </c>
      <c r="Z127" t="str">
        <f t="shared" si="7"/>
        <v>'38°C',</v>
      </c>
      <c r="AA127" t="str">
        <f t="shared" si="7"/>
        <v>'44.9°C',</v>
      </c>
      <c r="AB127" s="22" t="str">
        <f t="shared" si="8"/>
        <v>'21%',</v>
      </c>
      <c r="AC127" s="22" t="str">
        <f t="shared" si="8"/>
        <v>'40%',</v>
      </c>
      <c r="AD127" s="28" t="str">
        <f t="shared" si="9"/>
        <v>'410',</v>
      </c>
      <c r="AE127" s="28" t="str">
        <f t="shared" si="9"/>
        <v>'613',</v>
      </c>
      <c r="AF127" t="str">
        <f t="shared" si="10"/>
        <v>'125',</v>
      </c>
      <c r="AG127" t="str">
        <f t="shared" si="11"/>
        <v>'15% din umiditate este folosita pentru crestere, 85% se pierde prin evaporare si transpiratie.'),</v>
      </c>
      <c r="AL127" s="25">
        <v>4.0999999999999996</v>
      </c>
      <c r="AM127" s="25">
        <v>6.13</v>
      </c>
      <c r="AX127">
        <v>1125</v>
      </c>
      <c r="AY127" t="s">
        <v>128</v>
      </c>
      <c r="AZ127" t="s">
        <v>129</v>
      </c>
      <c r="BA127" s="22">
        <v>0.21</v>
      </c>
      <c r="BB127" s="22">
        <v>0.4</v>
      </c>
      <c r="BD127">
        <v>125</v>
      </c>
      <c r="BE127" t="s">
        <v>130</v>
      </c>
    </row>
    <row r="128" spans="19:57" x14ac:dyDescent="0.35">
      <c r="S128">
        <v>52</v>
      </c>
      <c r="T128" t="s">
        <v>12</v>
      </c>
      <c r="U128">
        <v>1</v>
      </c>
      <c r="Y128" t="str">
        <f t="shared" si="6"/>
        <v>('1126',</v>
      </c>
      <c r="Z128" t="str">
        <f t="shared" si="7"/>
        <v>'38°C',</v>
      </c>
      <c r="AA128" t="str">
        <f t="shared" si="7"/>
        <v>'44.9°C',</v>
      </c>
      <c r="AB128" s="22" t="str">
        <f t="shared" si="8"/>
        <v>'21%',</v>
      </c>
      <c r="AC128" s="22" t="str">
        <f t="shared" si="8"/>
        <v>'40%',</v>
      </c>
      <c r="AD128" s="28" t="str">
        <f t="shared" si="9"/>
        <v>'410',</v>
      </c>
      <c r="AE128" s="28" t="str">
        <f t="shared" si="9"/>
        <v>'613',</v>
      </c>
      <c r="AF128" t="str">
        <f t="shared" si="10"/>
        <v>'126',</v>
      </c>
      <c r="AG128" t="str">
        <f t="shared" si="11"/>
        <v>'15% din umiditate este folosita pentru crestere, 85% se pierde prin evaporare si transpiratie.'),</v>
      </c>
      <c r="AL128" s="25">
        <v>4.0999999999999996</v>
      </c>
      <c r="AM128" s="25">
        <v>6.13</v>
      </c>
      <c r="AX128">
        <v>1126</v>
      </c>
      <c r="AY128" t="s">
        <v>128</v>
      </c>
      <c r="AZ128" t="s">
        <v>129</v>
      </c>
      <c r="BA128" s="22">
        <v>0.21</v>
      </c>
      <c r="BB128" s="22">
        <v>0.4</v>
      </c>
      <c r="BD128">
        <v>126</v>
      </c>
      <c r="BE128" t="s">
        <v>130</v>
      </c>
    </row>
    <row r="129" spans="19:57" x14ac:dyDescent="0.35">
      <c r="S129">
        <v>53</v>
      </c>
      <c r="T129" t="s">
        <v>13</v>
      </c>
      <c r="U129">
        <v>1</v>
      </c>
      <c r="Y129" t="str">
        <f t="shared" si="6"/>
        <v>('1127',</v>
      </c>
      <c r="Z129" t="str">
        <f t="shared" si="7"/>
        <v>'38°C',</v>
      </c>
      <c r="AA129" t="str">
        <f t="shared" si="7"/>
        <v>'44.9°C',</v>
      </c>
      <c r="AB129" s="22" t="str">
        <f t="shared" si="8"/>
        <v>'21%',</v>
      </c>
      <c r="AC129" s="22" t="str">
        <f t="shared" si="8"/>
        <v>'40%',</v>
      </c>
      <c r="AD129" s="28" t="str">
        <f t="shared" si="9"/>
        <v>'410',</v>
      </c>
      <c r="AE129" s="28" t="str">
        <f t="shared" si="9"/>
        <v>'613',</v>
      </c>
      <c r="AF129" t="str">
        <f t="shared" si="10"/>
        <v>'127',</v>
      </c>
      <c r="AG129" t="str">
        <f t="shared" si="11"/>
        <v>'15% din umiditate este folosita pentru crestere, 85% se pierde prin evaporare si transpiratie.'),</v>
      </c>
      <c r="AL129" s="25">
        <v>4.0999999999999996</v>
      </c>
      <c r="AM129" s="25">
        <v>6.13</v>
      </c>
      <c r="AX129">
        <v>1127</v>
      </c>
      <c r="AY129" t="s">
        <v>128</v>
      </c>
      <c r="AZ129" t="s">
        <v>129</v>
      </c>
      <c r="BA129" s="22">
        <v>0.21</v>
      </c>
      <c r="BB129" s="22">
        <v>0.4</v>
      </c>
      <c r="BD129">
        <v>127</v>
      </c>
      <c r="BE129" t="s">
        <v>130</v>
      </c>
    </row>
    <row r="130" spans="19:57" x14ac:dyDescent="0.35">
      <c r="S130">
        <v>54</v>
      </c>
      <c r="T130" t="s">
        <v>15</v>
      </c>
      <c r="U130">
        <v>1</v>
      </c>
      <c r="Y130" t="str">
        <f t="shared" si="6"/>
        <v>('1128',</v>
      </c>
      <c r="Z130" t="str">
        <f t="shared" si="7"/>
        <v>'38°C',</v>
      </c>
      <c r="AA130" t="str">
        <f t="shared" si="7"/>
        <v>'44.9°C',</v>
      </c>
      <c r="AB130" s="22" t="str">
        <f t="shared" si="8"/>
        <v>'21%',</v>
      </c>
      <c r="AC130" s="22" t="str">
        <f t="shared" si="8"/>
        <v>'40%',</v>
      </c>
      <c r="AD130" s="28" t="str">
        <f t="shared" si="9"/>
        <v>'410',</v>
      </c>
      <c r="AE130" s="28" t="str">
        <f t="shared" si="9"/>
        <v>'613',</v>
      </c>
      <c r="AF130" t="str">
        <f t="shared" si="10"/>
        <v>'128',</v>
      </c>
      <c r="AG130" t="str">
        <f t="shared" si="11"/>
        <v>'15% din umiditate este folosita pentru crestere, 85% se pierde prin evaporare si transpiratie.'),</v>
      </c>
      <c r="AL130" s="25">
        <v>4.0999999999999996</v>
      </c>
      <c r="AM130" s="25">
        <v>6.13</v>
      </c>
      <c r="AX130">
        <v>1128</v>
      </c>
      <c r="AY130" t="s">
        <v>128</v>
      </c>
      <c r="AZ130" t="s">
        <v>129</v>
      </c>
      <c r="BA130" s="22">
        <v>0.21</v>
      </c>
      <c r="BB130" s="22">
        <v>0.4</v>
      </c>
      <c r="BD130">
        <v>128</v>
      </c>
      <c r="BE130" t="s">
        <v>130</v>
      </c>
    </row>
    <row r="131" spans="19:57" x14ac:dyDescent="0.35">
      <c r="S131">
        <v>55</v>
      </c>
      <c r="T131" t="s">
        <v>17</v>
      </c>
      <c r="U131">
        <v>1</v>
      </c>
      <c r="Y131" t="str">
        <f t="shared" si="6"/>
        <v>('1129',</v>
      </c>
      <c r="Z131" t="str">
        <f t="shared" si="7"/>
        <v>'38°C',</v>
      </c>
      <c r="AA131" t="str">
        <f t="shared" si="7"/>
        <v>'44.9°C',</v>
      </c>
      <c r="AB131" s="22" t="str">
        <f t="shared" si="8"/>
        <v>'21%',</v>
      </c>
      <c r="AC131" s="22" t="str">
        <f t="shared" si="8"/>
        <v>'40%',</v>
      </c>
      <c r="AD131" s="28" t="str">
        <f t="shared" si="9"/>
        <v>'410',</v>
      </c>
      <c r="AE131" s="28" t="str">
        <f t="shared" si="9"/>
        <v>'613',</v>
      </c>
      <c r="AF131" t="str">
        <f t="shared" si="10"/>
        <v>'129',</v>
      </c>
      <c r="AG131" t="str">
        <f t="shared" si="11"/>
        <v>'15% din umiditate este folosita pentru crestere, 85% se pierde prin evaporare si transpiratie.'),</v>
      </c>
      <c r="AL131" s="25">
        <v>4.0999999999999996</v>
      </c>
      <c r="AM131" s="25">
        <v>6.13</v>
      </c>
      <c r="AX131">
        <v>1129</v>
      </c>
      <c r="AY131" t="s">
        <v>128</v>
      </c>
      <c r="AZ131" t="s">
        <v>129</v>
      </c>
      <c r="BA131" s="22">
        <v>0.21</v>
      </c>
      <c r="BB131" s="22">
        <v>0.4</v>
      </c>
      <c r="BD131">
        <v>129</v>
      </c>
      <c r="BE131" t="s">
        <v>130</v>
      </c>
    </row>
    <row r="132" spans="19:57" x14ac:dyDescent="0.35">
      <c r="S132">
        <v>56</v>
      </c>
      <c r="T132" t="s">
        <v>18</v>
      </c>
      <c r="U132">
        <v>1</v>
      </c>
      <c r="Y132" t="str">
        <f t="shared" ref="Y132:Y179" si="12" xml:space="preserve"> "("&amp;"'"&amp;AX132 &amp;"'"&amp;","</f>
        <v>('1130',</v>
      </c>
      <c r="Z132" t="str">
        <f t="shared" ref="Z132:AA179" si="13" xml:space="preserve"> "'"&amp;AY132&amp;"'"&amp;","</f>
        <v>'38°C',</v>
      </c>
      <c r="AA132" t="str">
        <f t="shared" si="13"/>
        <v>'44.9°C',</v>
      </c>
      <c r="AB132" s="22" t="str">
        <f t="shared" ref="AB132:AC179" si="14" xml:space="preserve"> "'"&amp;BA132*100&amp;"%"&amp;"'"&amp;","</f>
        <v>'21%',</v>
      </c>
      <c r="AC132" s="22" t="str">
        <f t="shared" si="14"/>
        <v>'40%',</v>
      </c>
      <c r="AD132" s="28" t="str">
        <f t="shared" ref="AD132:AE179" si="15" xml:space="preserve"> "'"&amp;AL132 *100&amp;"'"&amp;","</f>
        <v>'410',</v>
      </c>
      <c r="AE132" s="28" t="str">
        <f t="shared" si="15"/>
        <v>'613',</v>
      </c>
      <c r="AF132" t="str">
        <f t="shared" ref="AF132:AF179" si="16" xml:space="preserve"> "'"&amp;BD132&amp;"'"&amp;","</f>
        <v>'130',</v>
      </c>
      <c r="AG132" t="str">
        <f t="shared" ref="AG132:AG179" si="17" xml:space="preserve"> "'"&amp;BE132&amp;"'"&amp;")"&amp;","</f>
        <v>'15% din umiditate este folosita pentru crestere, 85% se pierde prin evaporare si transpiratie.'),</v>
      </c>
      <c r="AL132" s="25">
        <v>4.0999999999999996</v>
      </c>
      <c r="AM132" s="25">
        <v>6.13</v>
      </c>
      <c r="AX132">
        <v>1130</v>
      </c>
      <c r="AY132" t="s">
        <v>128</v>
      </c>
      <c r="AZ132" t="s">
        <v>129</v>
      </c>
      <c r="BA132" s="22">
        <v>0.21</v>
      </c>
      <c r="BB132" s="22">
        <v>0.4</v>
      </c>
      <c r="BD132">
        <v>130</v>
      </c>
      <c r="BE132" t="s">
        <v>130</v>
      </c>
    </row>
    <row r="133" spans="19:57" x14ac:dyDescent="0.35">
      <c r="S133">
        <v>57</v>
      </c>
      <c r="T133" t="s">
        <v>19</v>
      </c>
      <c r="U133">
        <v>1</v>
      </c>
      <c r="Y133" t="str">
        <f t="shared" si="12"/>
        <v>('1131',</v>
      </c>
      <c r="Z133" t="str">
        <f t="shared" si="13"/>
        <v>'38°C',</v>
      </c>
      <c r="AA133" t="str">
        <f t="shared" si="13"/>
        <v>'44.9°C',</v>
      </c>
      <c r="AB133" s="22" t="str">
        <f t="shared" si="14"/>
        <v>'21%',</v>
      </c>
      <c r="AC133" s="22" t="str">
        <f t="shared" si="14"/>
        <v>'40%',</v>
      </c>
      <c r="AD133" s="28" t="str">
        <f t="shared" si="15"/>
        <v>'410',</v>
      </c>
      <c r="AE133" s="28" t="str">
        <f t="shared" si="15"/>
        <v>'613',</v>
      </c>
      <c r="AF133" t="str">
        <f t="shared" si="16"/>
        <v>'131',</v>
      </c>
      <c r="AG133" t="str">
        <f t="shared" si="17"/>
        <v>'15% din umiditate este folosita pentru crestere, 85% se pierde prin evaporare si transpiratie.'),</v>
      </c>
      <c r="AL133" s="25">
        <v>4.0999999999999996</v>
      </c>
      <c r="AM133" s="25">
        <v>6.13</v>
      </c>
      <c r="AX133">
        <v>1131</v>
      </c>
      <c r="AY133" t="s">
        <v>128</v>
      </c>
      <c r="AZ133" t="s">
        <v>129</v>
      </c>
      <c r="BA133" s="22">
        <v>0.21</v>
      </c>
      <c r="BB133" s="22">
        <v>0.4</v>
      </c>
      <c r="BD133">
        <v>131</v>
      </c>
      <c r="BE133" t="s">
        <v>130</v>
      </c>
    </row>
    <row r="134" spans="19:57" x14ac:dyDescent="0.35">
      <c r="S134">
        <v>58</v>
      </c>
      <c r="T134" t="s">
        <v>20</v>
      </c>
      <c r="U134">
        <v>1</v>
      </c>
      <c r="Y134" t="str">
        <f t="shared" si="12"/>
        <v>('1132',</v>
      </c>
      <c r="Z134" t="str">
        <f t="shared" si="13"/>
        <v>'32°C',</v>
      </c>
      <c r="AA134" t="str">
        <f t="shared" si="13"/>
        <v>'37.9°C',</v>
      </c>
      <c r="AB134" s="22" t="str">
        <f t="shared" si="14"/>
        <v>'41%',</v>
      </c>
      <c r="AC134" s="22" t="str">
        <f t="shared" si="14"/>
        <v>'60%',</v>
      </c>
      <c r="AD134" s="28" t="str">
        <f t="shared" si="15"/>
        <v>'410',</v>
      </c>
      <c r="AE134" s="28" t="str">
        <f t="shared" si="15"/>
        <v>'613',</v>
      </c>
      <c r="AF134" t="str">
        <f t="shared" si="16"/>
        <v>'132',</v>
      </c>
      <c r="AG134" t="str">
        <f t="shared" si="17"/>
        <v>'Cresterea plantelor incetineste.'),</v>
      </c>
      <c r="AL134" s="25">
        <v>4.0999999999999996</v>
      </c>
      <c r="AM134" s="25">
        <v>6.13</v>
      </c>
      <c r="AX134">
        <v>1132</v>
      </c>
      <c r="AY134" t="s">
        <v>131</v>
      </c>
      <c r="AZ134" t="s">
        <v>132</v>
      </c>
      <c r="BA134" s="22">
        <v>0.41</v>
      </c>
      <c r="BB134" s="22">
        <v>0.6</v>
      </c>
      <c r="BD134">
        <v>132</v>
      </c>
      <c r="BE134" t="s">
        <v>133</v>
      </c>
    </row>
    <row r="135" spans="19:57" x14ac:dyDescent="0.35">
      <c r="S135">
        <v>59</v>
      </c>
      <c r="T135" t="s">
        <v>21</v>
      </c>
      <c r="U135">
        <v>1</v>
      </c>
      <c r="Y135" t="str">
        <f t="shared" si="12"/>
        <v>('1133',</v>
      </c>
      <c r="Z135" t="str">
        <f t="shared" si="13"/>
        <v>'32°C',</v>
      </c>
      <c r="AA135" t="str">
        <f t="shared" si="13"/>
        <v>'37.9°C',</v>
      </c>
      <c r="AB135" s="22" t="str">
        <f t="shared" si="14"/>
        <v>'41%',</v>
      </c>
      <c r="AC135" s="22" t="str">
        <f t="shared" si="14"/>
        <v>'60%',</v>
      </c>
      <c r="AD135" s="28" t="str">
        <f t="shared" si="15"/>
        <v>'410',</v>
      </c>
      <c r="AE135" s="28" t="str">
        <f t="shared" si="15"/>
        <v>'613',</v>
      </c>
      <c r="AF135" t="str">
        <f t="shared" si="16"/>
        <v>'133',</v>
      </c>
      <c r="AG135" t="str">
        <f t="shared" si="17"/>
        <v>'Cresterea plantelor incetineste.'),</v>
      </c>
      <c r="AL135" s="25">
        <v>4.0999999999999996</v>
      </c>
      <c r="AM135" s="25">
        <v>6.13</v>
      </c>
      <c r="AX135">
        <v>1133</v>
      </c>
      <c r="AY135" t="s">
        <v>131</v>
      </c>
      <c r="AZ135" t="s">
        <v>132</v>
      </c>
      <c r="BA135" s="22">
        <v>0.41</v>
      </c>
      <c r="BB135" s="22">
        <v>0.6</v>
      </c>
      <c r="BD135">
        <v>133</v>
      </c>
      <c r="BE135" t="s">
        <v>133</v>
      </c>
    </row>
    <row r="136" spans="19:57" x14ac:dyDescent="0.35">
      <c r="S136">
        <v>6</v>
      </c>
      <c r="T136" t="s">
        <v>6</v>
      </c>
      <c r="U136">
        <v>1</v>
      </c>
      <c r="Y136" t="str">
        <f t="shared" si="12"/>
        <v>('1134',</v>
      </c>
      <c r="Z136" t="str">
        <f t="shared" si="13"/>
        <v>'32°C',</v>
      </c>
      <c r="AA136" t="str">
        <f t="shared" si="13"/>
        <v>'37.9°C',</v>
      </c>
      <c r="AB136" s="22" t="str">
        <f t="shared" si="14"/>
        <v>'41%',</v>
      </c>
      <c r="AC136" s="22" t="str">
        <f t="shared" si="14"/>
        <v>'60%',</v>
      </c>
      <c r="AD136" s="28" t="str">
        <f t="shared" si="15"/>
        <v>'614',</v>
      </c>
      <c r="AE136" s="28" t="str">
        <f t="shared" si="15"/>
        <v>'818',</v>
      </c>
      <c r="AF136" t="str">
        <f t="shared" si="16"/>
        <v>'134',</v>
      </c>
      <c r="AG136" t="str">
        <f t="shared" si="17"/>
        <v>'Cresterea plantelor incetineste.'),</v>
      </c>
      <c r="AL136" s="25">
        <v>6.14</v>
      </c>
      <c r="AM136" s="25">
        <v>8.18</v>
      </c>
      <c r="AX136">
        <v>1134</v>
      </c>
      <c r="AY136" t="s">
        <v>131</v>
      </c>
      <c r="AZ136" t="s">
        <v>132</v>
      </c>
      <c r="BA136" s="22">
        <v>0.41</v>
      </c>
      <c r="BB136" s="22">
        <v>0.6</v>
      </c>
      <c r="BD136">
        <v>134</v>
      </c>
      <c r="BE136" t="s">
        <v>133</v>
      </c>
    </row>
    <row r="137" spans="19:57" x14ac:dyDescent="0.35">
      <c r="S137">
        <v>60</v>
      </c>
      <c r="T137" t="s">
        <v>22</v>
      </c>
      <c r="U137">
        <v>1</v>
      </c>
      <c r="Y137" t="str">
        <f t="shared" si="12"/>
        <v>('1135',</v>
      </c>
      <c r="Z137" t="str">
        <f t="shared" si="13"/>
        <v>'32°C',</v>
      </c>
      <c r="AA137" t="str">
        <f t="shared" si="13"/>
        <v>'37.9°C',</v>
      </c>
      <c r="AB137" s="22" t="str">
        <f t="shared" si="14"/>
        <v>'41%',</v>
      </c>
      <c r="AC137" s="22" t="str">
        <f t="shared" si="14"/>
        <v>'60%',</v>
      </c>
      <c r="AD137" s="28" t="str">
        <f t="shared" si="15"/>
        <v>'410',</v>
      </c>
      <c r="AE137" s="28" t="str">
        <f t="shared" si="15"/>
        <v>'613',</v>
      </c>
      <c r="AF137" t="str">
        <f t="shared" si="16"/>
        <v>'135',</v>
      </c>
      <c r="AG137" t="str">
        <f t="shared" si="17"/>
        <v>'Cresterea plantelor incetineste.'),</v>
      </c>
      <c r="AL137" s="25">
        <v>4.0999999999999996</v>
      </c>
      <c r="AM137" s="25">
        <v>6.13</v>
      </c>
      <c r="AX137">
        <v>1135</v>
      </c>
      <c r="AY137" t="s">
        <v>131</v>
      </c>
      <c r="AZ137" t="s">
        <v>132</v>
      </c>
      <c r="BA137" s="22">
        <v>0.41</v>
      </c>
      <c r="BB137" s="22">
        <v>0.6</v>
      </c>
      <c r="BD137">
        <v>135</v>
      </c>
      <c r="BE137" t="s">
        <v>133</v>
      </c>
    </row>
    <row r="138" spans="19:57" x14ac:dyDescent="0.35">
      <c r="S138">
        <v>61</v>
      </c>
      <c r="T138" t="s">
        <v>59</v>
      </c>
      <c r="U138">
        <v>1</v>
      </c>
      <c r="Y138" t="str">
        <f t="shared" si="12"/>
        <v>('1136',</v>
      </c>
      <c r="Z138" t="str">
        <f t="shared" si="13"/>
        <v>'32°C',</v>
      </c>
      <c r="AA138" t="str">
        <f t="shared" si="13"/>
        <v>'37.9°C',</v>
      </c>
      <c r="AB138" s="22" t="str">
        <f t="shared" si="14"/>
        <v>'41%',</v>
      </c>
      <c r="AC138" s="22" t="str">
        <f t="shared" si="14"/>
        <v>'60%',</v>
      </c>
      <c r="AD138" s="28" t="str">
        <f t="shared" si="15"/>
        <v>'410',</v>
      </c>
      <c r="AE138" s="28" t="str">
        <f t="shared" si="15"/>
        <v>'613',</v>
      </c>
      <c r="AF138" t="str">
        <f t="shared" si="16"/>
        <v>'136',</v>
      </c>
      <c r="AG138" t="str">
        <f t="shared" si="17"/>
        <v>'Cresterea plantelor incetineste.'),</v>
      </c>
      <c r="AL138" s="25">
        <v>4.0999999999999996</v>
      </c>
      <c r="AM138" s="25">
        <v>6.13</v>
      </c>
      <c r="AX138">
        <v>1136</v>
      </c>
      <c r="AY138" t="s">
        <v>131</v>
      </c>
      <c r="AZ138" t="s">
        <v>132</v>
      </c>
      <c r="BA138" s="22">
        <v>0.41</v>
      </c>
      <c r="BB138" s="22">
        <v>0.6</v>
      </c>
      <c r="BD138">
        <v>136</v>
      </c>
      <c r="BE138" t="s">
        <v>133</v>
      </c>
    </row>
    <row r="139" spans="19:57" x14ac:dyDescent="0.35">
      <c r="S139">
        <v>62</v>
      </c>
      <c r="T139" t="s">
        <v>34</v>
      </c>
      <c r="U139">
        <v>1</v>
      </c>
      <c r="Y139" t="str">
        <f t="shared" si="12"/>
        <v>('1137',</v>
      </c>
      <c r="Z139" t="str">
        <f t="shared" si="13"/>
        <v>'32°C',</v>
      </c>
      <c r="AA139" t="str">
        <f t="shared" si="13"/>
        <v>'37.9°C',</v>
      </c>
      <c r="AB139" s="22" t="str">
        <f t="shared" si="14"/>
        <v>'41%',</v>
      </c>
      <c r="AC139" s="22" t="str">
        <f t="shared" si="14"/>
        <v>'60%',</v>
      </c>
      <c r="AD139" s="28" t="str">
        <f t="shared" si="15"/>
        <v>'410',</v>
      </c>
      <c r="AE139" s="28" t="str">
        <f t="shared" si="15"/>
        <v>'613',</v>
      </c>
      <c r="AF139" t="str">
        <f t="shared" si="16"/>
        <v>'137',</v>
      </c>
      <c r="AG139" t="str">
        <f t="shared" si="17"/>
        <v>'Cresterea plantelor incetineste.'),</v>
      </c>
      <c r="AL139" s="25">
        <v>4.0999999999999996</v>
      </c>
      <c r="AM139" s="25">
        <v>6.13</v>
      </c>
      <c r="AX139">
        <v>1137</v>
      </c>
      <c r="AY139" t="s">
        <v>131</v>
      </c>
      <c r="AZ139" t="s">
        <v>132</v>
      </c>
      <c r="BA139" s="22">
        <v>0.41</v>
      </c>
      <c r="BB139" s="22">
        <v>0.6</v>
      </c>
      <c r="BD139">
        <v>137</v>
      </c>
      <c r="BE139" t="s">
        <v>133</v>
      </c>
    </row>
    <row r="140" spans="19:57" x14ac:dyDescent="0.35">
      <c r="S140">
        <v>63</v>
      </c>
      <c r="T140" t="s">
        <v>60</v>
      </c>
      <c r="U140">
        <v>1</v>
      </c>
      <c r="Y140" t="str">
        <f t="shared" si="12"/>
        <v>('1138',</v>
      </c>
      <c r="Z140" t="str">
        <f t="shared" si="13"/>
        <v>'32°C',</v>
      </c>
      <c r="AA140" t="str">
        <f t="shared" si="13"/>
        <v>'37.9°C',</v>
      </c>
      <c r="AB140" s="22" t="str">
        <f t="shared" si="14"/>
        <v>'41%',</v>
      </c>
      <c r="AC140" s="22" t="str">
        <f t="shared" si="14"/>
        <v>'60%',</v>
      </c>
      <c r="AD140" s="28" t="str">
        <f t="shared" si="15"/>
        <v>'410',</v>
      </c>
      <c r="AE140" s="28" t="str">
        <f t="shared" si="15"/>
        <v>'613',</v>
      </c>
      <c r="AF140" t="str">
        <f t="shared" si="16"/>
        <v>'138',</v>
      </c>
      <c r="AG140" t="str">
        <f t="shared" si="17"/>
        <v>'Cresterea plantelor incetineste.'),</v>
      </c>
      <c r="AL140" s="25">
        <v>4.0999999999999996</v>
      </c>
      <c r="AM140" s="25">
        <v>6.13</v>
      </c>
      <c r="AX140">
        <v>1138</v>
      </c>
      <c r="AY140" t="s">
        <v>131</v>
      </c>
      <c r="AZ140" t="s">
        <v>132</v>
      </c>
      <c r="BA140" s="22">
        <v>0.41</v>
      </c>
      <c r="BB140" s="22">
        <v>0.6</v>
      </c>
      <c r="BD140">
        <v>138</v>
      </c>
      <c r="BE140" t="s">
        <v>133</v>
      </c>
    </row>
    <row r="141" spans="19:57" x14ac:dyDescent="0.35">
      <c r="S141">
        <v>64</v>
      </c>
      <c r="T141" t="s">
        <v>37</v>
      </c>
      <c r="U141">
        <v>1</v>
      </c>
      <c r="Y141" t="str">
        <f t="shared" si="12"/>
        <v>('1139',</v>
      </c>
      <c r="Z141" t="str">
        <f t="shared" si="13"/>
        <v>'32°C',</v>
      </c>
      <c r="AA141" t="str">
        <f t="shared" si="13"/>
        <v>'37.9°C',</v>
      </c>
      <c r="AB141" s="22" t="str">
        <f t="shared" si="14"/>
        <v>'41%',</v>
      </c>
      <c r="AC141" s="22" t="str">
        <f t="shared" si="14"/>
        <v>'60%',</v>
      </c>
      <c r="AD141" s="28" t="str">
        <f t="shared" si="15"/>
        <v>'410',</v>
      </c>
      <c r="AE141" s="28" t="str">
        <f t="shared" si="15"/>
        <v>'613',</v>
      </c>
      <c r="AF141" t="str">
        <f t="shared" si="16"/>
        <v>'139',</v>
      </c>
      <c r="AG141" t="str">
        <f t="shared" si="17"/>
        <v>'Cresterea plantelor incetineste.'),</v>
      </c>
      <c r="AL141" s="25">
        <v>4.0999999999999996</v>
      </c>
      <c r="AM141" s="25">
        <v>6.13</v>
      </c>
      <c r="AX141">
        <v>1139</v>
      </c>
      <c r="AY141" t="s">
        <v>131</v>
      </c>
      <c r="AZ141" t="s">
        <v>132</v>
      </c>
      <c r="BA141" s="22">
        <v>0.41</v>
      </c>
      <c r="BB141" s="22">
        <v>0.6</v>
      </c>
      <c r="BD141">
        <v>139</v>
      </c>
      <c r="BE141" t="s">
        <v>133</v>
      </c>
    </row>
    <row r="142" spans="19:57" x14ac:dyDescent="0.35">
      <c r="S142">
        <v>65</v>
      </c>
      <c r="T142" t="s">
        <v>39</v>
      </c>
      <c r="U142">
        <v>1</v>
      </c>
      <c r="Y142" t="str">
        <f t="shared" si="12"/>
        <v>('1140',</v>
      </c>
      <c r="Z142" t="str">
        <f t="shared" si="13"/>
        <v>'32°C',</v>
      </c>
      <c r="AA142" t="str">
        <f t="shared" si="13"/>
        <v>'37.9°C',</v>
      </c>
      <c r="AB142" s="22" t="str">
        <f t="shared" si="14"/>
        <v>'41%',</v>
      </c>
      <c r="AC142" s="22" t="str">
        <f t="shared" si="14"/>
        <v>'60%',</v>
      </c>
      <c r="AD142" s="28" t="str">
        <f t="shared" si="15"/>
        <v>'410',</v>
      </c>
      <c r="AE142" s="28" t="str">
        <f t="shared" si="15"/>
        <v>'613',</v>
      </c>
      <c r="AF142" t="str">
        <f t="shared" si="16"/>
        <v>'140',</v>
      </c>
      <c r="AG142" t="str">
        <f t="shared" si="17"/>
        <v>'Cresterea plantelor incetineste.'),</v>
      </c>
      <c r="AL142" s="25">
        <v>4.0999999999999996</v>
      </c>
      <c r="AM142" s="25">
        <v>6.13</v>
      </c>
      <c r="AX142">
        <v>1140</v>
      </c>
      <c r="AY142" t="s">
        <v>131</v>
      </c>
      <c r="AZ142" t="s">
        <v>132</v>
      </c>
      <c r="BA142" s="22">
        <v>0.41</v>
      </c>
      <c r="BB142" s="22">
        <v>0.6</v>
      </c>
      <c r="BD142">
        <v>140</v>
      </c>
      <c r="BE142" t="s">
        <v>133</v>
      </c>
    </row>
    <row r="143" spans="19:57" x14ac:dyDescent="0.35">
      <c r="S143">
        <v>66</v>
      </c>
      <c r="T143" t="s">
        <v>61</v>
      </c>
      <c r="U143">
        <v>1</v>
      </c>
      <c r="Y143" t="str">
        <f t="shared" si="12"/>
        <v>('1141',</v>
      </c>
      <c r="Z143" t="str">
        <f t="shared" si="13"/>
        <v>'32°C',</v>
      </c>
      <c r="AA143" t="str">
        <f t="shared" si="13"/>
        <v>'37.9°C',</v>
      </c>
      <c r="AB143" s="22" t="str">
        <f t="shared" si="14"/>
        <v>'41%',</v>
      </c>
      <c r="AC143" s="22" t="str">
        <f t="shared" si="14"/>
        <v>'60%',</v>
      </c>
      <c r="AD143" s="28" t="str">
        <f t="shared" si="15"/>
        <v>'410',</v>
      </c>
      <c r="AE143" s="28" t="str">
        <f t="shared" si="15"/>
        <v>'613',</v>
      </c>
      <c r="AF143" t="str">
        <f t="shared" si="16"/>
        <v>'141',</v>
      </c>
      <c r="AG143" t="str">
        <f t="shared" si="17"/>
        <v>'Cresterea plantelor incetineste.'),</v>
      </c>
      <c r="AL143" s="25">
        <v>4.0999999999999996</v>
      </c>
      <c r="AM143" s="25">
        <v>6.13</v>
      </c>
      <c r="AX143">
        <v>1141</v>
      </c>
      <c r="AY143" t="s">
        <v>131</v>
      </c>
      <c r="AZ143" t="s">
        <v>132</v>
      </c>
      <c r="BA143" s="22">
        <v>0.41</v>
      </c>
      <c r="BB143" s="22">
        <v>0.6</v>
      </c>
      <c r="BD143">
        <v>141</v>
      </c>
      <c r="BE143" t="s">
        <v>133</v>
      </c>
    </row>
    <row r="144" spans="19:57" x14ac:dyDescent="0.35">
      <c r="S144">
        <v>67</v>
      </c>
      <c r="T144" t="s">
        <v>62</v>
      </c>
      <c r="U144">
        <v>1</v>
      </c>
      <c r="Y144" t="str">
        <f t="shared" si="12"/>
        <v>('1142',</v>
      </c>
      <c r="Z144" t="str">
        <f t="shared" si="13"/>
        <v>'32°C',</v>
      </c>
      <c r="AA144" t="str">
        <f t="shared" si="13"/>
        <v>'37.9°C',</v>
      </c>
      <c r="AB144" s="22" t="str">
        <f t="shared" si="14"/>
        <v>'41%',</v>
      </c>
      <c r="AC144" s="22" t="str">
        <f t="shared" si="14"/>
        <v>'60%',</v>
      </c>
      <c r="AD144" s="28" t="str">
        <f t="shared" si="15"/>
        <v>'410',</v>
      </c>
      <c r="AE144" s="28" t="str">
        <f t="shared" si="15"/>
        <v>'613',</v>
      </c>
      <c r="AF144" t="str">
        <f t="shared" si="16"/>
        <v>'142',</v>
      </c>
      <c r="AG144" t="str">
        <f t="shared" si="17"/>
        <v>'Cresterea plantelor incetineste.'),</v>
      </c>
      <c r="AL144" s="25">
        <v>4.0999999999999996</v>
      </c>
      <c r="AM144" s="25">
        <v>6.13</v>
      </c>
      <c r="AX144">
        <v>1142</v>
      </c>
      <c r="AY144" t="s">
        <v>131</v>
      </c>
      <c r="AZ144" t="s">
        <v>132</v>
      </c>
      <c r="BA144" s="22">
        <v>0.41</v>
      </c>
      <c r="BB144" s="22">
        <v>0.6</v>
      </c>
      <c r="BD144">
        <v>142</v>
      </c>
      <c r="BE144" t="s">
        <v>133</v>
      </c>
    </row>
    <row r="145" spans="19:57" x14ac:dyDescent="0.35">
      <c r="S145">
        <v>68</v>
      </c>
      <c r="T145" t="s">
        <v>63</v>
      </c>
      <c r="U145">
        <v>1</v>
      </c>
      <c r="Y145" t="str">
        <f t="shared" si="12"/>
        <v>('1143',</v>
      </c>
      <c r="Z145" t="str">
        <f t="shared" si="13"/>
        <v>'32°C',</v>
      </c>
      <c r="AA145" t="str">
        <f t="shared" si="13"/>
        <v>'37.9°C',</v>
      </c>
      <c r="AB145" s="22" t="str">
        <f t="shared" si="14"/>
        <v>'41%',</v>
      </c>
      <c r="AC145" s="22" t="str">
        <f t="shared" si="14"/>
        <v>'60%',</v>
      </c>
      <c r="AD145" s="28" t="str">
        <f t="shared" si="15"/>
        <v>'410',</v>
      </c>
      <c r="AE145" s="28" t="str">
        <f t="shared" si="15"/>
        <v>'613',</v>
      </c>
      <c r="AF145" t="str">
        <f t="shared" si="16"/>
        <v>'143',</v>
      </c>
      <c r="AG145" t="str">
        <f t="shared" si="17"/>
        <v>'Cresterea plantelor incetineste.'),</v>
      </c>
      <c r="AL145" s="25">
        <v>4.0999999999999996</v>
      </c>
      <c r="AM145" s="25">
        <v>6.13</v>
      </c>
      <c r="AX145">
        <v>1143</v>
      </c>
      <c r="AY145" t="s">
        <v>131</v>
      </c>
      <c r="AZ145" t="s">
        <v>132</v>
      </c>
      <c r="BA145" s="22">
        <v>0.41</v>
      </c>
      <c r="BB145" s="22">
        <v>0.6</v>
      </c>
      <c r="BD145">
        <v>143</v>
      </c>
      <c r="BE145" t="s">
        <v>133</v>
      </c>
    </row>
    <row r="146" spans="19:57" x14ac:dyDescent="0.35">
      <c r="S146">
        <v>69</v>
      </c>
      <c r="T146" t="s">
        <v>42</v>
      </c>
      <c r="U146">
        <v>1</v>
      </c>
      <c r="Y146" t="str">
        <f t="shared" si="12"/>
        <v>('1144',</v>
      </c>
      <c r="Z146" t="str">
        <f t="shared" si="13"/>
        <v>'32°C',</v>
      </c>
      <c r="AA146" t="str">
        <f t="shared" si="13"/>
        <v>'37.9°C',</v>
      </c>
      <c r="AB146" s="22" t="str">
        <f t="shared" si="14"/>
        <v>'41%',</v>
      </c>
      <c r="AC146" s="22" t="str">
        <f t="shared" si="14"/>
        <v>'60%',</v>
      </c>
      <c r="AD146" s="28" t="str">
        <f t="shared" si="15"/>
        <v>'410',</v>
      </c>
      <c r="AE146" s="28" t="str">
        <f t="shared" si="15"/>
        <v>'613',</v>
      </c>
      <c r="AF146" t="str">
        <f t="shared" si="16"/>
        <v>'144',</v>
      </c>
      <c r="AG146" t="str">
        <f t="shared" si="17"/>
        <v>'Cresterea plantelor incetineste.'),</v>
      </c>
      <c r="AL146" s="25">
        <v>4.0999999999999996</v>
      </c>
      <c r="AM146" s="25">
        <v>6.13</v>
      </c>
      <c r="AX146">
        <v>1144</v>
      </c>
      <c r="AY146" t="s">
        <v>131</v>
      </c>
      <c r="AZ146" t="s">
        <v>132</v>
      </c>
      <c r="BA146" s="22">
        <v>0.41</v>
      </c>
      <c r="BB146" s="22">
        <v>0.6</v>
      </c>
      <c r="BD146">
        <v>144</v>
      </c>
      <c r="BE146" t="s">
        <v>133</v>
      </c>
    </row>
    <row r="147" spans="19:57" x14ac:dyDescent="0.35">
      <c r="S147">
        <v>7</v>
      </c>
      <c r="T147" t="s">
        <v>8</v>
      </c>
      <c r="U147">
        <v>1</v>
      </c>
      <c r="Y147" t="str">
        <f t="shared" si="12"/>
        <v>('1145',</v>
      </c>
      <c r="Z147" t="str">
        <f t="shared" si="13"/>
        <v>'32°C',</v>
      </c>
      <c r="AA147" t="str">
        <f t="shared" si="13"/>
        <v>'37.9°C',</v>
      </c>
      <c r="AB147" s="22" t="str">
        <f t="shared" si="14"/>
        <v>'41%',</v>
      </c>
      <c r="AC147" s="22" t="str">
        <f t="shared" si="14"/>
        <v>'60%',</v>
      </c>
      <c r="AD147" s="28" t="str">
        <f t="shared" si="15"/>
        <v>'614',</v>
      </c>
      <c r="AE147" s="28" t="str">
        <f t="shared" si="15"/>
        <v>'818',</v>
      </c>
      <c r="AF147" t="str">
        <f t="shared" si="16"/>
        <v>'145',</v>
      </c>
      <c r="AG147" t="str">
        <f t="shared" si="17"/>
        <v>'Cresterea plantelor incetineste.'),</v>
      </c>
      <c r="AL147" s="25">
        <v>6.14</v>
      </c>
      <c r="AM147" s="25">
        <v>8.18</v>
      </c>
      <c r="AX147">
        <v>1145</v>
      </c>
      <c r="AY147" t="s">
        <v>131</v>
      </c>
      <c r="AZ147" t="s">
        <v>132</v>
      </c>
      <c r="BA147" s="22">
        <v>0.41</v>
      </c>
      <c r="BB147" s="22">
        <v>0.6</v>
      </c>
      <c r="BD147">
        <v>145</v>
      </c>
      <c r="BE147" t="s">
        <v>133</v>
      </c>
    </row>
    <row r="148" spans="19:57" x14ac:dyDescent="0.35">
      <c r="S148">
        <v>70</v>
      </c>
      <c r="T148" t="s">
        <v>64</v>
      </c>
      <c r="U148">
        <v>1</v>
      </c>
      <c r="Y148" t="str">
        <f t="shared" si="12"/>
        <v>('1146',</v>
      </c>
      <c r="Z148" t="str">
        <f t="shared" si="13"/>
        <v>'32°C',</v>
      </c>
      <c r="AA148" t="str">
        <f t="shared" si="13"/>
        <v>'37.9°C',</v>
      </c>
      <c r="AB148" s="22" t="str">
        <f t="shared" si="14"/>
        <v>'41%',</v>
      </c>
      <c r="AC148" s="22" t="str">
        <f t="shared" si="14"/>
        <v>'60%',</v>
      </c>
      <c r="AD148" s="28" t="str">
        <f t="shared" si="15"/>
        <v>'410',</v>
      </c>
      <c r="AE148" s="28" t="str">
        <f t="shared" si="15"/>
        <v>'613',</v>
      </c>
      <c r="AF148" t="str">
        <f t="shared" si="16"/>
        <v>'146',</v>
      </c>
      <c r="AG148" t="str">
        <f t="shared" si="17"/>
        <v>'Cresterea plantelor incetineste.'),</v>
      </c>
      <c r="AL148" s="25">
        <v>4.0999999999999996</v>
      </c>
      <c r="AM148" s="25">
        <v>6.13</v>
      </c>
      <c r="AX148">
        <v>1146</v>
      </c>
      <c r="AY148" t="s">
        <v>131</v>
      </c>
      <c r="AZ148" t="s">
        <v>132</v>
      </c>
      <c r="BA148" s="22">
        <v>0.41</v>
      </c>
      <c r="BB148" s="22">
        <v>0.6</v>
      </c>
      <c r="BD148">
        <v>146</v>
      </c>
      <c r="BE148" t="s">
        <v>133</v>
      </c>
    </row>
    <row r="149" spans="19:57" x14ac:dyDescent="0.35">
      <c r="S149">
        <v>71</v>
      </c>
      <c r="T149" t="s">
        <v>65</v>
      </c>
      <c r="U149">
        <v>1</v>
      </c>
      <c r="Y149" t="str">
        <f t="shared" si="12"/>
        <v>('1147',</v>
      </c>
      <c r="Z149" t="str">
        <f t="shared" si="13"/>
        <v>'32°C',</v>
      </c>
      <c r="AA149" t="str">
        <f t="shared" si="13"/>
        <v>'37.9°C',</v>
      </c>
      <c r="AB149" s="22" t="str">
        <f t="shared" si="14"/>
        <v>'41%',</v>
      </c>
      <c r="AC149" s="22" t="str">
        <f t="shared" si="14"/>
        <v>'60%',</v>
      </c>
      <c r="AD149" s="28" t="str">
        <f t="shared" si="15"/>
        <v>'410',</v>
      </c>
      <c r="AE149" s="28" t="str">
        <f t="shared" si="15"/>
        <v>'613',</v>
      </c>
      <c r="AF149" t="str">
        <f t="shared" si="16"/>
        <v>'147',</v>
      </c>
      <c r="AG149" t="str">
        <f t="shared" si="17"/>
        <v>'Cresterea plantelor incetineste.'),</v>
      </c>
      <c r="AL149" s="25">
        <v>4.0999999999999996</v>
      </c>
      <c r="AM149" s="25">
        <v>6.13</v>
      </c>
      <c r="AX149">
        <v>1147</v>
      </c>
      <c r="AY149" t="s">
        <v>131</v>
      </c>
      <c r="AZ149" t="s">
        <v>132</v>
      </c>
      <c r="BA149" s="22">
        <v>0.41</v>
      </c>
      <c r="BB149" s="22">
        <v>0.6</v>
      </c>
      <c r="BD149">
        <v>147</v>
      </c>
      <c r="BE149" t="s">
        <v>133</v>
      </c>
    </row>
    <row r="150" spans="19:57" x14ac:dyDescent="0.35">
      <c r="S150">
        <v>72</v>
      </c>
      <c r="T150" t="s">
        <v>66</v>
      </c>
      <c r="U150">
        <v>1</v>
      </c>
      <c r="Y150" t="str">
        <f t="shared" si="12"/>
        <v>('1148',</v>
      </c>
      <c r="Z150" t="str">
        <f t="shared" si="13"/>
        <v>'32°C',</v>
      </c>
      <c r="AA150" t="str">
        <f t="shared" si="13"/>
        <v>'37.9°C',</v>
      </c>
      <c r="AB150" s="22" t="str">
        <f t="shared" si="14"/>
        <v>'41%',</v>
      </c>
      <c r="AC150" s="22" t="str">
        <f t="shared" si="14"/>
        <v>'60%',</v>
      </c>
      <c r="AD150" s="28" t="str">
        <f t="shared" si="15"/>
        <v>'410',</v>
      </c>
      <c r="AE150" s="28" t="str">
        <f t="shared" si="15"/>
        <v>'613',</v>
      </c>
      <c r="AF150" t="str">
        <f t="shared" si="16"/>
        <v>'148',</v>
      </c>
      <c r="AG150" t="str">
        <f t="shared" si="17"/>
        <v>'Cresterea plantelor incetineste.'),</v>
      </c>
      <c r="AL150" s="25">
        <v>4.0999999999999996</v>
      </c>
      <c r="AM150" s="25">
        <v>6.13</v>
      </c>
      <c r="AX150">
        <v>1148</v>
      </c>
      <c r="AY150" t="s">
        <v>131</v>
      </c>
      <c r="AZ150" t="s">
        <v>132</v>
      </c>
      <c r="BA150" s="22">
        <v>0.41</v>
      </c>
      <c r="BB150" s="22">
        <v>0.6</v>
      </c>
      <c r="BD150">
        <v>148</v>
      </c>
      <c r="BE150" t="s">
        <v>133</v>
      </c>
    </row>
    <row r="151" spans="19:57" x14ac:dyDescent="0.35">
      <c r="S151">
        <v>73</v>
      </c>
      <c r="T151" t="s">
        <v>67</v>
      </c>
      <c r="U151">
        <v>1</v>
      </c>
      <c r="Y151" t="str">
        <f t="shared" si="12"/>
        <v>('1149',</v>
      </c>
      <c r="Z151" t="str">
        <f t="shared" si="13"/>
        <v>'32°C',</v>
      </c>
      <c r="AA151" t="str">
        <f t="shared" si="13"/>
        <v>'37.9°C',</v>
      </c>
      <c r="AB151" s="22" t="str">
        <f t="shared" si="14"/>
        <v>'41%',</v>
      </c>
      <c r="AC151" s="22" t="str">
        <f t="shared" si="14"/>
        <v>'60%',</v>
      </c>
      <c r="AD151" s="28" t="str">
        <f t="shared" si="15"/>
        <v>'410',</v>
      </c>
      <c r="AE151" s="28" t="str">
        <f t="shared" si="15"/>
        <v>'613',</v>
      </c>
      <c r="AF151" t="str">
        <f t="shared" si="16"/>
        <v>'149',</v>
      </c>
      <c r="AG151" t="str">
        <f t="shared" si="17"/>
        <v>'Cresterea plantelor incetineste.'),</v>
      </c>
      <c r="AL151" s="25">
        <v>4.0999999999999996</v>
      </c>
      <c r="AM151" s="25">
        <v>6.13</v>
      </c>
      <c r="AX151">
        <v>1149</v>
      </c>
      <c r="AY151" t="s">
        <v>131</v>
      </c>
      <c r="AZ151" t="s">
        <v>132</v>
      </c>
      <c r="BA151" s="22">
        <v>0.41</v>
      </c>
      <c r="BB151" s="22">
        <v>0.6</v>
      </c>
      <c r="BD151">
        <v>149</v>
      </c>
      <c r="BE151" t="s">
        <v>133</v>
      </c>
    </row>
    <row r="152" spans="19:57" x14ac:dyDescent="0.35">
      <c r="S152">
        <v>74</v>
      </c>
      <c r="T152" t="s">
        <v>47</v>
      </c>
      <c r="U152">
        <v>1</v>
      </c>
      <c r="Y152" t="str">
        <f t="shared" si="12"/>
        <v>('1150',</v>
      </c>
      <c r="Z152" t="str">
        <f t="shared" si="13"/>
        <v>'32°C',</v>
      </c>
      <c r="AA152" t="str">
        <f t="shared" si="13"/>
        <v>'37.9°C',</v>
      </c>
      <c r="AB152" s="22" t="str">
        <f t="shared" si="14"/>
        <v>'41%',</v>
      </c>
      <c r="AC152" s="22" t="str">
        <f t="shared" si="14"/>
        <v>'60%',</v>
      </c>
      <c r="AD152" s="28" t="str">
        <f t="shared" si="15"/>
        <v>'410',</v>
      </c>
      <c r="AE152" s="28" t="str">
        <f t="shared" si="15"/>
        <v>'613',</v>
      </c>
      <c r="AF152" t="str">
        <f t="shared" si="16"/>
        <v>'150',</v>
      </c>
      <c r="AG152" t="str">
        <f t="shared" si="17"/>
        <v>'Cresterea plantelor incetineste.'),</v>
      </c>
      <c r="AL152" s="25">
        <v>4.0999999999999996</v>
      </c>
      <c r="AM152" s="25">
        <v>6.13</v>
      </c>
      <c r="AX152">
        <v>1150</v>
      </c>
      <c r="AY152" t="s">
        <v>131</v>
      </c>
      <c r="AZ152" t="s">
        <v>132</v>
      </c>
      <c r="BA152" s="22">
        <v>0.41</v>
      </c>
      <c r="BB152" s="22">
        <v>0.6</v>
      </c>
      <c r="BD152">
        <v>150</v>
      </c>
      <c r="BE152" t="s">
        <v>133</v>
      </c>
    </row>
    <row r="153" spans="19:57" x14ac:dyDescent="0.35">
      <c r="S153">
        <v>75</v>
      </c>
      <c r="T153" t="s">
        <v>68</v>
      </c>
      <c r="U153">
        <v>1</v>
      </c>
      <c r="Y153" t="str">
        <f t="shared" si="12"/>
        <v>('1151',</v>
      </c>
      <c r="Z153" t="str">
        <f t="shared" si="13"/>
        <v>'32°C',</v>
      </c>
      <c r="AA153" t="str">
        <f t="shared" si="13"/>
        <v>'37.9°C',</v>
      </c>
      <c r="AB153" s="22" t="str">
        <f t="shared" si="14"/>
        <v>'41%',</v>
      </c>
      <c r="AC153" s="22" t="str">
        <f t="shared" si="14"/>
        <v>'60%',</v>
      </c>
      <c r="AD153" s="28" t="str">
        <f t="shared" si="15"/>
        <v>'410',</v>
      </c>
      <c r="AE153" s="28" t="str">
        <f t="shared" si="15"/>
        <v>'613',</v>
      </c>
      <c r="AF153" t="str">
        <f t="shared" si="16"/>
        <v>'151',</v>
      </c>
      <c r="AG153" t="str">
        <f t="shared" si="17"/>
        <v>'Cresterea plantelor incetineste.'),</v>
      </c>
      <c r="AL153" s="25">
        <v>4.0999999999999996</v>
      </c>
      <c r="AM153" s="25">
        <v>6.13</v>
      </c>
      <c r="AX153">
        <v>1151</v>
      </c>
      <c r="AY153" t="s">
        <v>131</v>
      </c>
      <c r="AZ153" t="s">
        <v>132</v>
      </c>
      <c r="BA153" s="22">
        <v>0.41</v>
      </c>
      <c r="BB153" s="22">
        <v>0.6</v>
      </c>
      <c r="BD153">
        <v>151</v>
      </c>
      <c r="BE153" t="s">
        <v>133</v>
      </c>
    </row>
    <row r="154" spans="19:57" x14ac:dyDescent="0.35">
      <c r="S154">
        <v>76</v>
      </c>
      <c r="T154" t="s">
        <v>69</v>
      </c>
      <c r="U154">
        <v>1</v>
      </c>
      <c r="Y154" t="str">
        <f t="shared" si="12"/>
        <v>('1152',</v>
      </c>
      <c r="Z154" t="str">
        <f t="shared" si="13"/>
        <v>'32°C',</v>
      </c>
      <c r="AA154" t="str">
        <f t="shared" si="13"/>
        <v>'37.9°C',</v>
      </c>
      <c r="AB154" s="22" t="str">
        <f t="shared" si="14"/>
        <v>'41%',</v>
      </c>
      <c r="AC154" s="22" t="str">
        <f t="shared" si="14"/>
        <v>'60%',</v>
      </c>
      <c r="AD154" s="28" t="str">
        <f t="shared" si="15"/>
        <v>'410',</v>
      </c>
      <c r="AE154" s="28" t="str">
        <f t="shared" si="15"/>
        <v>'613',</v>
      </c>
      <c r="AF154" t="str">
        <f t="shared" si="16"/>
        <v>'152',</v>
      </c>
      <c r="AG154" t="str">
        <f t="shared" si="17"/>
        <v>'Cresterea plantelor incetineste.'),</v>
      </c>
      <c r="AL154" s="25">
        <v>4.0999999999999996</v>
      </c>
      <c r="AM154" s="25">
        <v>6.13</v>
      </c>
      <c r="AX154">
        <v>1152</v>
      </c>
      <c r="AY154" t="s">
        <v>131</v>
      </c>
      <c r="AZ154" t="s">
        <v>132</v>
      </c>
      <c r="BA154" s="22">
        <v>0.41</v>
      </c>
      <c r="BB154" s="22">
        <v>0.6</v>
      </c>
      <c r="BD154">
        <v>152</v>
      </c>
      <c r="BE154" t="s">
        <v>133</v>
      </c>
    </row>
    <row r="155" spans="19:57" x14ac:dyDescent="0.35">
      <c r="S155">
        <v>77</v>
      </c>
      <c r="T155" t="s">
        <v>53</v>
      </c>
      <c r="U155">
        <v>1</v>
      </c>
      <c r="Y155" t="str">
        <f t="shared" si="12"/>
        <v>('1153',</v>
      </c>
      <c r="Z155" t="str">
        <f t="shared" si="13"/>
        <v>'18°C',</v>
      </c>
      <c r="AA155" t="str">
        <f t="shared" si="13"/>
        <v>'31.9°C',</v>
      </c>
      <c r="AB155" s="22" t="str">
        <f t="shared" si="14"/>
        <v>'21%',</v>
      </c>
      <c r="AC155" s="22" t="str">
        <f t="shared" si="14"/>
        <v>'80%',</v>
      </c>
      <c r="AD155" s="28" t="str">
        <f t="shared" si="15"/>
        <v>'410',</v>
      </c>
      <c r="AE155" s="28" t="str">
        <f t="shared" si="15"/>
        <v>'613',</v>
      </c>
      <c r="AF155" t="str">
        <f t="shared" si="16"/>
        <v>'153',</v>
      </c>
      <c r="AG155" t="str">
        <f t="shared" si="17"/>
        <v>'Interval ideal pentru nitrificare, cresterea plantelor si plantare'),</v>
      </c>
      <c r="AL155" s="25">
        <v>4.0999999999999996</v>
      </c>
      <c r="AM155" s="25">
        <v>6.13</v>
      </c>
      <c r="AX155">
        <v>1153</v>
      </c>
      <c r="AY155" t="s">
        <v>134</v>
      </c>
      <c r="AZ155" t="s">
        <v>135</v>
      </c>
      <c r="BA155" s="22">
        <v>0.21</v>
      </c>
      <c r="BB155" s="22">
        <v>0.8</v>
      </c>
      <c r="BD155">
        <v>153</v>
      </c>
      <c r="BE155" t="s">
        <v>136</v>
      </c>
    </row>
    <row r="156" spans="19:57" x14ac:dyDescent="0.35">
      <c r="S156">
        <v>78</v>
      </c>
      <c r="T156" t="s">
        <v>54</v>
      </c>
      <c r="U156">
        <v>1</v>
      </c>
      <c r="Y156" t="str">
        <f t="shared" si="12"/>
        <v>('1154',</v>
      </c>
      <c r="Z156" t="str">
        <f t="shared" si="13"/>
        <v>'18°C',</v>
      </c>
      <c r="AA156" t="str">
        <f t="shared" si="13"/>
        <v>'31.9°C',</v>
      </c>
      <c r="AB156" s="22" t="str">
        <f t="shared" si="14"/>
        <v>'61%',</v>
      </c>
      <c r="AC156" s="22" t="str">
        <f t="shared" si="14"/>
        <v>'80%',</v>
      </c>
      <c r="AD156" s="28" t="str">
        <f t="shared" si="15"/>
        <v>'410',</v>
      </c>
      <c r="AE156" s="28" t="str">
        <f t="shared" si="15"/>
        <v>'613',</v>
      </c>
      <c r="AF156" t="str">
        <f t="shared" si="16"/>
        <v>'154',</v>
      </c>
      <c r="AG156" t="str">
        <f t="shared" si="17"/>
        <v>'Interval ideal pentru nitrificare, cresterea plantelor si plantare'),</v>
      </c>
      <c r="AL156" s="25">
        <v>4.0999999999999996</v>
      </c>
      <c r="AM156" s="25">
        <v>6.13</v>
      </c>
      <c r="AX156">
        <v>1154</v>
      </c>
      <c r="AY156" t="s">
        <v>134</v>
      </c>
      <c r="AZ156" t="s">
        <v>135</v>
      </c>
      <c r="BA156" s="22">
        <v>0.61</v>
      </c>
      <c r="BB156" s="22">
        <v>0.8</v>
      </c>
      <c r="BD156">
        <v>154</v>
      </c>
      <c r="BE156" t="s">
        <v>136</v>
      </c>
    </row>
    <row r="157" spans="19:57" x14ac:dyDescent="0.35">
      <c r="S157">
        <v>79</v>
      </c>
      <c r="T157" t="s">
        <v>55</v>
      </c>
      <c r="U157">
        <v>1</v>
      </c>
      <c r="Y157" t="str">
        <f t="shared" si="12"/>
        <v>('1155',</v>
      </c>
      <c r="Z157" t="str">
        <f t="shared" si="13"/>
        <v>'18°C',</v>
      </c>
      <c r="AA157" t="str">
        <f t="shared" si="13"/>
        <v>'31.9°C',</v>
      </c>
      <c r="AB157" s="22" t="str">
        <f t="shared" si="14"/>
        <v>'21%',</v>
      </c>
      <c r="AC157" s="22" t="str">
        <f t="shared" si="14"/>
        <v>'80%',</v>
      </c>
      <c r="AD157" s="28" t="str">
        <f t="shared" si="15"/>
        <v>'410',</v>
      </c>
      <c r="AE157" s="28" t="str">
        <f t="shared" si="15"/>
        <v>'613',</v>
      </c>
      <c r="AF157" t="str">
        <f t="shared" si="16"/>
        <v>'155',</v>
      </c>
      <c r="AG157" t="str">
        <f t="shared" si="17"/>
        <v>'Interval ideal pentru nitrificare, cresterea plantelor si plantare'),</v>
      </c>
      <c r="AL157" s="25">
        <v>4.0999999999999996</v>
      </c>
      <c r="AM157" s="25">
        <v>6.13</v>
      </c>
      <c r="AX157">
        <v>1155</v>
      </c>
      <c r="AY157" t="s">
        <v>134</v>
      </c>
      <c r="AZ157" t="s">
        <v>135</v>
      </c>
      <c r="BA157" s="22">
        <v>0.21</v>
      </c>
      <c r="BB157" s="22">
        <v>0.8</v>
      </c>
      <c r="BD157">
        <v>155</v>
      </c>
      <c r="BE157" t="s">
        <v>136</v>
      </c>
    </row>
    <row r="158" spans="19:57" x14ac:dyDescent="0.35">
      <c r="S158">
        <v>8</v>
      </c>
      <c r="T158" t="s">
        <v>9</v>
      </c>
      <c r="U158">
        <v>1</v>
      </c>
      <c r="Y158" t="str">
        <f t="shared" si="12"/>
        <v>('1156',</v>
      </c>
      <c r="Z158" t="str">
        <f t="shared" si="13"/>
        <v>'18°C',</v>
      </c>
      <c r="AA158" t="str">
        <f t="shared" si="13"/>
        <v>'31.9°C',</v>
      </c>
      <c r="AB158" s="22" t="str">
        <f t="shared" si="14"/>
        <v>'61%',</v>
      </c>
      <c r="AC158" s="22" t="str">
        <f t="shared" si="14"/>
        <v>'80%',</v>
      </c>
      <c r="AD158" s="28" t="str">
        <f t="shared" si="15"/>
        <v>'614',</v>
      </c>
      <c r="AE158" s="28" t="str">
        <f t="shared" si="15"/>
        <v>'818',</v>
      </c>
      <c r="AF158" t="str">
        <f t="shared" si="16"/>
        <v>'156',</v>
      </c>
      <c r="AG158" t="str">
        <f t="shared" si="17"/>
        <v>'Interval ideal pentru nitrificare, cresterea plantelor si plantare'),</v>
      </c>
      <c r="AL158" s="25">
        <v>6.14</v>
      </c>
      <c r="AM158" s="25">
        <v>8.18</v>
      </c>
      <c r="AX158">
        <v>1156</v>
      </c>
      <c r="AY158" t="s">
        <v>134</v>
      </c>
      <c r="AZ158" t="s">
        <v>135</v>
      </c>
      <c r="BA158" s="22">
        <v>0.61</v>
      </c>
      <c r="BB158" s="22">
        <v>0.8</v>
      </c>
      <c r="BD158">
        <v>156</v>
      </c>
      <c r="BE158" t="s">
        <v>136</v>
      </c>
    </row>
    <row r="159" spans="19:57" x14ac:dyDescent="0.35">
      <c r="S159">
        <v>80</v>
      </c>
      <c r="T159" t="s">
        <v>15</v>
      </c>
      <c r="U159">
        <v>1</v>
      </c>
      <c r="Y159" t="str">
        <f t="shared" si="12"/>
        <v>('1157',</v>
      </c>
      <c r="Z159" t="str">
        <f t="shared" si="13"/>
        <v>'18°C',</v>
      </c>
      <c r="AA159" t="str">
        <f t="shared" si="13"/>
        <v>'31.9°C',</v>
      </c>
      <c r="AB159" s="22" t="str">
        <f t="shared" si="14"/>
        <v>'61%',</v>
      </c>
      <c r="AC159" s="22" t="str">
        <f t="shared" si="14"/>
        <v>'80%',</v>
      </c>
      <c r="AD159" s="28" t="str">
        <f t="shared" si="15"/>
        <v>'205',</v>
      </c>
      <c r="AE159" s="28" t="str">
        <f t="shared" si="15"/>
        <v>'409',</v>
      </c>
      <c r="AF159" t="str">
        <f t="shared" si="16"/>
        <v>'157',</v>
      </c>
      <c r="AG159" t="str">
        <f t="shared" si="17"/>
        <v>'Interval ideal pentru nitrificare, cresterea plantelor si plantare'),</v>
      </c>
      <c r="AL159" s="25">
        <v>2.0499999999999998</v>
      </c>
      <c r="AM159" s="25">
        <v>4.09</v>
      </c>
      <c r="AX159">
        <v>1157</v>
      </c>
      <c r="AY159" t="s">
        <v>134</v>
      </c>
      <c r="AZ159" t="s">
        <v>135</v>
      </c>
      <c r="BA159" s="22">
        <v>0.61</v>
      </c>
      <c r="BB159" s="22">
        <v>0.8</v>
      </c>
      <c r="BD159">
        <v>157</v>
      </c>
      <c r="BE159" t="s">
        <v>136</v>
      </c>
    </row>
    <row r="160" spans="19:57" x14ac:dyDescent="0.35">
      <c r="S160">
        <v>81</v>
      </c>
      <c r="T160" t="s">
        <v>19</v>
      </c>
      <c r="U160">
        <v>1</v>
      </c>
      <c r="Y160" t="str">
        <f t="shared" si="12"/>
        <v>('1158',</v>
      </c>
      <c r="Z160" t="str">
        <f t="shared" si="13"/>
        <v>'18°C',</v>
      </c>
      <c r="AA160" t="str">
        <f t="shared" si="13"/>
        <v>'31.9°C',</v>
      </c>
      <c r="AB160" s="22" t="str">
        <f t="shared" si="14"/>
        <v>'21%',</v>
      </c>
      <c r="AC160" s="22" t="str">
        <f t="shared" si="14"/>
        <v>'80%',</v>
      </c>
      <c r="AD160" s="28" t="str">
        <f t="shared" si="15"/>
        <v>'205',</v>
      </c>
      <c r="AE160" s="28" t="str">
        <f t="shared" si="15"/>
        <v>'409',</v>
      </c>
      <c r="AF160" t="str">
        <f t="shared" si="16"/>
        <v>'158',</v>
      </c>
      <c r="AG160" t="str">
        <f t="shared" si="17"/>
        <v>'Interval ideal pentru nitrificare, cresterea plantelor si plantare'),</v>
      </c>
      <c r="AL160" s="25">
        <v>2.0499999999999998</v>
      </c>
      <c r="AM160" s="25">
        <v>4.09</v>
      </c>
      <c r="AX160">
        <v>1158</v>
      </c>
      <c r="AY160" t="s">
        <v>134</v>
      </c>
      <c r="AZ160" t="s">
        <v>135</v>
      </c>
      <c r="BA160" s="22">
        <v>0.21</v>
      </c>
      <c r="BB160" s="22">
        <v>0.8</v>
      </c>
      <c r="BD160">
        <v>158</v>
      </c>
      <c r="BE160" t="s">
        <v>136</v>
      </c>
    </row>
    <row r="161" spans="19:57" x14ac:dyDescent="0.35">
      <c r="S161">
        <v>82</v>
      </c>
      <c r="T161" t="s">
        <v>22</v>
      </c>
      <c r="U161">
        <v>1</v>
      </c>
      <c r="Y161" t="str">
        <f t="shared" si="12"/>
        <v>('1159',</v>
      </c>
      <c r="Z161" t="str">
        <f t="shared" si="13"/>
        <v>'18°C',</v>
      </c>
      <c r="AA161" t="str">
        <f t="shared" si="13"/>
        <v>'31.9°C',</v>
      </c>
      <c r="AB161" s="22" t="str">
        <f t="shared" si="14"/>
        <v>'61%',</v>
      </c>
      <c r="AC161" s="22" t="str">
        <f t="shared" si="14"/>
        <v>'80%',</v>
      </c>
      <c r="AD161" s="28" t="str">
        <f t="shared" si="15"/>
        <v>'205',</v>
      </c>
      <c r="AE161" s="28" t="str">
        <f t="shared" si="15"/>
        <v>'409',</v>
      </c>
      <c r="AF161" t="str">
        <f t="shared" si="16"/>
        <v>'159',</v>
      </c>
      <c r="AG161" t="str">
        <f t="shared" si="17"/>
        <v>'Interval ideal pentru nitrificare, cresterea plantelor si plantare'),</v>
      </c>
      <c r="AL161" s="25">
        <v>2.0499999999999998</v>
      </c>
      <c r="AM161" s="25">
        <v>4.09</v>
      </c>
      <c r="AX161">
        <v>1159</v>
      </c>
      <c r="AY161" t="s">
        <v>134</v>
      </c>
      <c r="AZ161" t="s">
        <v>135</v>
      </c>
      <c r="BA161" s="22">
        <v>0.61</v>
      </c>
      <c r="BB161" s="22">
        <v>0.8</v>
      </c>
      <c r="BD161">
        <v>159</v>
      </c>
      <c r="BE161" t="s">
        <v>136</v>
      </c>
    </row>
    <row r="162" spans="19:57" x14ac:dyDescent="0.35">
      <c r="S162">
        <v>83</v>
      </c>
      <c r="T162" t="s">
        <v>64</v>
      </c>
      <c r="U162">
        <v>1</v>
      </c>
      <c r="Y162" t="str">
        <f t="shared" si="12"/>
        <v>('1160',</v>
      </c>
      <c r="Z162" t="str">
        <f t="shared" si="13"/>
        <v>'38°C',</v>
      </c>
      <c r="AA162" t="str">
        <f t="shared" si="13"/>
        <v>'44.9°C',</v>
      </c>
      <c r="AB162" s="22" t="str">
        <f t="shared" si="14"/>
        <v>'21%',</v>
      </c>
      <c r="AC162" s="22" t="str">
        <f t="shared" si="14"/>
        <v>'40%',</v>
      </c>
      <c r="AD162" s="28" t="str">
        <f t="shared" si="15"/>
        <v>'205',</v>
      </c>
      <c r="AE162" s="28" t="str">
        <f t="shared" si="15"/>
        <v>'409',</v>
      </c>
      <c r="AF162" t="str">
        <f t="shared" si="16"/>
        <v>'160',</v>
      </c>
      <c r="AG162" t="str">
        <f t="shared" si="17"/>
        <v>'15% din umiditate este folosita pentru crestere, 85% se pierde prin evaporare si transpiratie.'),</v>
      </c>
      <c r="AL162" s="25">
        <v>2.0499999999999998</v>
      </c>
      <c r="AM162" s="25">
        <v>4.09</v>
      </c>
      <c r="AX162">
        <v>1160</v>
      </c>
      <c r="AY162" t="s">
        <v>128</v>
      </c>
      <c r="AZ162" t="s">
        <v>129</v>
      </c>
      <c r="BA162" s="22">
        <v>0.21</v>
      </c>
      <c r="BB162" s="22">
        <v>0.4</v>
      </c>
      <c r="BD162">
        <v>160</v>
      </c>
      <c r="BE162" t="s">
        <v>130</v>
      </c>
    </row>
    <row r="163" spans="19:57" x14ac:dyDescent="0.35">
      <c r="S163">
        <v>84</v>
      </c>
      <c r="T163" t="s">
        <v>70</v>
      </c>
      <c r="U163">
        <v>1</v>
      </c>
      <c r="Y163" t="str">
        <f t="shared" si="12"/>
        <v>('1161',</v>
      </c>
      <c r="Z163" t="str">
        <f t="shared" si="13"/>
        <v>'38°C',</v>
      </c>
      <c r="AA163" t="str">
        <f t="shared" si="13"/>
        <v>'44.9°C',</v>
      </c>
      <c r="AB163" s="22" t="str">
        <f t="shared" si="14"/>
        <v>'21%',</v>
      </c>
      <c r="AC163" s="22" t="str">
        <f t="shared" si="14"/>
        <v>'40%',</v>
      </c>
      <c r="AD163" s="28" t="str">
        <f t="shared" si="15"/>
        <v>'205',</v>
      </c>
      <c r="AE163" s="28" t="str">
        <f t="shared" si="15"/>
        <v>'409',</v>
      </c>
      <c r="AF163" t="str">
        <f t="shared" si="16"/>
        <v>'161',</v>
      </c>
      <c r="AG163" t="str">
        <f t="shared" si="17"/>
        <v>'15% din umiditate este folosita pentru crestere, 85% se pierde prin evaporare si transpiratie.'),</v>
      </c>
      <c r="AL163" s="25">
        <v>2.0499999999999998</v>
      </c>
      <c r="AM163" s="25">
        <v>4.09</v>
      </c>
      <c r="AX163">
        <v>1161</v>
      </c>
      <c r="AY163" t="s">
        <v>128</v>
      </c>
      <c r="AZ163" t="s">
        <v>129</v>
      </c>
      <c r="BA163" s="22">
        <v>0.21</v>
      </c>
      <c r="BB163" s="22">
        <v>0.4</v>
      </c>
      <c r="BD163">
        <v>161</v>
      </c>
      <c r="BE163" t="s">
        <v>130</v>
      </c>
    </row>
    <row r="164" spans="19:57" x14ac:dyDescent="0.35">
      <c r="S164">
        <v>85</v>
      </c>
      <c r="T164" t="s">
        <v>67</v>
      </c>
      <c r="U164">
        <v>1</v>
      </c>
      <c r="Y164" t="str">
        <f t="shared" si="12"/>
        <v>('1162',</v>
      </c>
      <c r="Z164" t="str">
        <f t="shared" si="13"/>
        <v>'38°C',</v>
      </c>
      <c r="AA164" t="str">
        <f t="shared" si="13"/>
        <v>'44.9°C',</v>
      </c>
      <c r="AB164" s="22" t="str">
        <f t="shared" si="14"/>
        <v>'21%',</v>
      </c>
      <c r="AC164" s="22" t="str">
        <f t="shared" si="14"/>
        <v>'40%',</v>
      </c>
      <c r="AD164" s="28" t="str">
        <f t="shared" si="15"/>
        <v>'205',</v>
      </c>
      <c r="AE164" s="28" t="str">
        <f t="shared" si="15"/>
        <v>'409',</v>
      </c>
      <c r="AF164" t="str">
        <f t="shared" si="16"/>
        <v>'162',</v>
      </c>
      <c r="AG164" t="str">
        <f t="shared" si="17"/>
        <v>'15% din umiditate este folosita pentru crestere, 85% se pierde prin evaporare si transpiratie.'),</v>
      </c>
      <c r="AL164" s="25">
        <v>2.0499999999999998</v>
      </c>
      <c r="AM164" s="25">
        <v>4.09</v>
      </c>
      <c r="AX164">
        <v>1162</v>
      </c>
      <c r="AY164" t="s">
        <v>128</v>
      </c>
      <c r="AZ164" t="s">
        <v>129</v>
      </c>
      <c r="BA164" s="22">
        <v>0.21</v>
      </c>
      <c r="BB164" s="22">
        <v>0.4</v>
      </c>
      <c r="BD164">
        <v>162</v>
      </c>
      <c r="BE164" t="s">
        <v>130</v>
      </c>
    </row>
    <row r="165" spans="19:57" x14ac:dyDescent="0.35">
      <c r="S165">
        <v>86</v>
      </c>
      <c r="T165" t="s">
        <v>51</v>
      </c>
      <c r="U165">
        <v>1</v>
      </c>
      <c r="Y165" t="str">
        <f t="shared" si="12"/>
        <v>('1163',</v>
      </c>
      <c r="Z165" t="str">
        <f t="shared" si="13"/>
        <v>'38°C',</v>
      </c>
      <c r="AA165" t="str">
        <f t="shared" si="13"/>
        <v>'44.9°C',</v>
      </c>
      <c r="AB165" s="22" t="str">
        <f t="shared" si="14"/>
        <v>'21%',</v>
      </c>
      <c r="AC165" s="22" t="str">
        <f t="shared" si="14"/>
        <v>'40%',</v>
      </c>
      <c r="AD165" s="28" t="str">
        <f t="shared" si="15"/>
        <v>'205',</v>
      </c>
      <c r="AE165" s="28" t="str">
        <f t="shared" si="15"/>
        <v>'409',</v>
      </c>
      <c r="AF165" t="str">
        <f t="shared" si="16"/>
        <v>'163',</v>
      </c>
      <c r="AG165" t="str">
        <f t="shared" si="17"/>
        <v>'15% din umiditate este folosita pentru crestere, 85% se pierde prin evaporare si transpiratie.'),</v>
      </c>
      <c r="AL165" s="25">
        <v>2.0499999999999998</v>
      </c>
      <c r="AM165" s="25">
        <v>4.09</v>
      </c>
      <c r="AX165">
        <v>1163</v>
      </c>
      <c r="AY165" t="s">
        <v>128</v>
      </c>
      <c r="AZ165" t="s">
        <v>129</v>
      </c>
      <c r="BA165" s="22">
        <v>0.21</v>
      </c>
      <c r="BB165" s="22">
        <v>0.4</v>
      </c>
      <c r="BD165">
        <v>163</v>
      </c>
      <c r="BE165" t="s">
        <v>130</v>
      </c>
    </row>
    <row r="166" spans="19:57" x14ac:dyDescent="0.35">
      <c r="S166">
        <v>87</v>
      </c>
      <c r="T166" t="s">
        <v>72</v>
      </c>
      <c r="U166">
        <v>2</v>
      </c>
      <c r="Y166" t="str">
        <f t="shared" si="12"/>
        <v>('1164',</v>
      </c>
      <c r="Z166" t="str">
        <f t="shared" si="13"/>
        <v>'38°C',</v>
      </c>
      <c r="AA166" t="str">
        <f t="shared" si="13"/>
        <v>'44.9°C',</v>
      </c>
      <c r="AB166" s="22" t="str">
        <f t="shared" si="14"/>
        <v>'21%',</v>
      </c>
      <c r="AC166" s="22" t="str">
        <f t="shared" si="14"/>
        <v>'40%',</v>
      </c>
      <c r="AD166" s="28" t="str">
        <f t="shared" si="15"/>
        <v>'819',</v>
      </c>
      <c r="AE166" s="28" t="str">
        <f t="shared" si="15"/>
        <v>'1024',</v>
      </c>
      <c r="AF166" t="str">
        <f t="shared" si="16"/>
        <v>'164',</v>
      </c>
      <c r="AG166" t="str">
        <f t="shared" si="17"/>
        <v>'15% din umiditate este folosita pentru crestere, 85% se pierde prin evaporare si transpiratie.'),</v>
      </c>
      <c r="AL166" s="25">
        <v>8.19</v>
      </c>
      <c r="AM166" s="25">
        <v>10.24</v>
      </c>
      <c r="AX166">
        <v>1164</v>
      </c>
      <c r="AY166" t="s">
        <v>128</v>
      </c>
      <c r="AZ166" t="s">
        <v>129</v>
      </c>
      <c r="BA166" s="22">
        <v>0.21</v>
      </c>
      <c r="BB166" s="22">
        <v>0.4</v>
      </c>
      <c r="BD166">
        <v>164</v>
      </c>
      <c r="BE166" t="s">
        <v>130</v>
      </c>
    </row>
    <row r="167" spans="19:57" x14ac:dyDescent="0.35">
      <c r="S167">
        <v>88</v>
      </c>
      <c r="T167" t="s">
        <v>73</v>
      </c>
      <c r="U167">
        <v>2</v>
      </c>
      <c r="Y167" t="str">
        <f t="shared" si="12"/>
        <v>('1165',</v>
      </c>
      <c r="Z167" t="str">
        <f t="shared" si="13"/>
        <v>'38°C',</v>
      </c>
      <c r="AA167" t="str">
        <f t="shared" si="13"/>
        <v>'44.9°C',</v>
      </c>
      <c r="AB167" s="22" t="str">
        <f t="shared" si="14"/>
        <v>'21%',</v>
      </c>
      <c r="AC167" s="22" t="str">
        <f t="shared" si="14"/>
        <v>'40%',</v>
      </c>
      <c r="AD167" s="28" t="str">
        <f t="shared" si="15"/>
        <v>'819',</v>
      </c>
      <c r="AE167" s="28" t="str">
        <f t="shared" si="15"/>
        <v>'1024',</v>
      </c>
      <c r="AF167" t="str">
        <f t="shared" si="16"/>
        <v>'165',</v>
      </c>
      <c r="AG167" t="str">
        <f t="shared" si="17"/>
        <v>'15% din umiditate este folosita pentru crestere, 85% se pierde prin evaporare si transpiratie.'),</v>
      </c>
      <c r="AL167" s="25">
        <v>8.19</v>
      </c>
      <c r="AM167" s="25">
        <v>10.24</v>
      </c>
      <c r="AX167">
        <v>1165</v>
      </c>
      <c r="AY167" t="s">
        <v>128</v>
      </c>
      <c r="AZ167" t="s">
        <v>129</v>
      </c>
      <c r="BA167" s="22">
        <v>0.21</v>
      </c>
      <c r="BB167" s="22">
        <v>0.4</v>
      </c>
      <c r="BD167">
        <v>165</v>
      </c>
      <c r="BE167" t="s">
        <v>130</v>
      </c>
    </row>
    <row r="168" spans="19:57" x14ac:dyDescent="0.35">
      <c r="S168">
        <v>89</v>
      </c>
      <c r="T168" t="s">
        <v>112</v>
      </c>
      <c r="U168">
        <v>2</v>
      </c>
      <c r="Y168" t="str">
        <f t="shared" si="12"/>
        <v>('1166',</v>
      </c>
      <c r="Z168" t="str">
        <f t="shared" si="13"/>
        <v>'38°C',</v>
      </c>
      <c r="AA168" t="str">
        <f t="shared" si="13"/>
        <v>'44.9°C',</v>
      </c>
      <c r="AB168" s="22" t="str">
        <f t="shared" si="14"/>
        <v>'28%',</v>
      </c>
      <c r="AC168" s="22" t="str">
        <f t="shared" si="14"/>
        <v>'40%',</v>
      </c>
      <c r="AD168" s="28" t="str">
        <f t="shared" si="15"/>
        <v>'614',</v>
      </c>
      <c r="AE168" s="28" t="str">
        <f t="shared" si="15"/>
        <v>'818',</v>
      </c>
      <c r="AF168" t="str">
        <f t="shared" si="16"/>
        <v>'166',</v>
      </c>
      <c r="AG168" t="str">
        <f t="shared" si="17"/>
        <v>'15% din umiditate este folosita pentru crestere, 85% se pierde prin evaporare si transpiratie.'),</v>
      </c>
      <c r="AL168" s="25">
        <v>6.14</v>
      </c>
      <c r="AM168" s="25">
        <v>8.18</v>
      </c>
      <c r="AX168">
        <v>1166</v>
      </c>
      <c r="AY168" t="s">
        <v>128</v>
      </c>
      <c r="AZ168" t="s">
        <v>129</v>
      </c>
      <c r="BA168" s="22">
        <v>0.28000000000000003</v>
      </c>
      <c r="BB168" s="22">
        <v>0.4</v>
      </c>
      <c r="BD168">
        <v>166</v>
      </c>
      <c r="BE168" t="s">
        <v>130</v>
      </c>
    </row>
    <row r="169" spans="19:57" x14ac:dyDescent="0.35">
      <c r="S169">
        <v>9</v>
      </c>
      <c r="T169" t="s">
        <v>10</v>
      </c>
      <c r="U169">
        <v>1</v>
      </c>
      <c r="Y169" t="str">
        <f t="shared" si="12"/>
        <v>('1167',</v>
      </c>
      <c r="Z169" t="str">
        <f t="shared" si="13"/>
        <v>'38°C',</v>
      </c>
      <c r="AA169" t="str">
        <f t="shared" si="13"/>
        <v>'44.9°C',</v>
      </c>
      <c r="AB169" s="22" t="str">
        <f t="shared" si="14"/>
        <v>'21%',</v>
      </c>
      <c r="AC169" s="22" t="str">
        <f t="shared" si="14"/>
        <v>'40%',</v>
      </c>
      <c r="AD169" s="28" t="str">
        <f t="shared" si="15"/>
        <v>'614',</v>
      </c>
      <c r="AE169" s="28" t="str">
        <f t="shared" si="15"/>
        <v>'818',</v>
      </c>
      <c r="AF169" t="str">
        <f t="shared" si="16"/>
        <v>'167',</v>
      </c>
      <c r="AG169" t="str">
        <f t="shared" si="17"/>
        <v>'15% din umiditate este folosita pentru crestere, 85% se pierde prin evaporare si transpiratie.'),</v>
      </c>
      <c r="AL169" s="25">
        <v>6.14</v>
      </c>
      <c r="AM169" s="25">
        <v>8.18</v>
      </c>
      <c r="AX169">
        <v>1167</v>
      </c>
      <c r="AY169" t="s">
        <v>128</v>
      </c>
      <c r="AZ169" t="s">
        <v>129</v>
      </c>
      <c r="BA169" s="22">
        <v>0.21</v>
      </c>
      <c r="BB169" s="22">
        <v>0.4</v>
      </c>
      <c r="BD169">
        <v>167</v>
      </c>
      <c r="BE169" t="s">
        <v>130</v>
      </c>
    </row>
    <row r="170" spans="19:57" x14ac:dyDescent="0.35">
      <c r="S170">
        <v>90</v>
      </c>
      <c r="T170" t="s">
        <v>14</v>
      </c>
      <c r="U170">
        <v>2</v>
      </c>
      <c r="Y170" t="str">
        <f t="shared" si="12"/>
        <v>('1168',</v>
      </c>
      <c r="Z170" t="str">
        <f t="shared" si="13"/>
        <v>'32°C',</v>
      </c>
      <c r="AA170" t="str">
        <f t="shared" si="13"/>
        <v>'37.9°C',</v>
      </c>
      <c r="AB170" s="22" t="str">
        <f t="shared" si="14"/>
        <v>'41%',</v>
      </c>
      <c r="AC170" s="22" t="str">
        <f t="shared" si="14"/>
        <v>'60%',</v>
      </c>
      <c r="AD170" s="28" t="str">
        <f t="shared" si="15"/>
        <v>'614',</v>
      </c>
      <c r="AE170" s="28" t="str">
        <f t="shared" si="15"/>
        <v>'818',</v>
      </c>
      <c r="AF170" t="str">
        <f t="shared" si="16"/>
        <v>'168',</v>
      </c>
      <c r="AG170" t="str">
        <f t="shared" si="17"/>
        <v>'Cresterea plantelor incetineste.'),</v>
      </c>
      <c r="AL170" s="25">
        <v>6.14</v>
      </c>
      <c r="AM170" s="25">
        <v>8.18</v>
      </c>
      <c r="AX170">
        <v>1168</v>
      </c>
      <c r="AY170" t="s">
        <v>131</v>
      </c>
      <c r="AZ170" t="s">
        <v>132</v>
      </c>
      <c r="BA170" s="22">
        <v>0.41</v>
      </c>
      <c r="BB170" s="22">
        <v>0.6</v>
      </c>
      <c r="BD170">
        <v>168</v>
      </c>
      <c r="BE170" t="s">
        <v>133</v>
      </c>
    </row>
    <row r="171" spans="19:57" x14ac:dyDescent="0.35">
      <c r="S171">
        <v>91</v>
      </c>
      <c r="T171" t="s">
        <v>78</v>
      </c>
      <c r="U171">
        <v>2</v>
      </c>
      <c r="Y171" t="str">
        <f t="shared" si="12"/>
        <v>('1169',</v>
      </c>
      <c r="Z171" t="str">
        <f t="shared" si="13"/>
        <v>'32°C',</v>
      </c>
      <c r="AA171" t="str">
        <f t="shared" si="13"/>
        <v>'37.9°C',</v>
      </c>
      <c r="AB171" s="22" t="str">
        <f t="shared" si="14"/>
        <v>'41%',</v>
      </c>
      <c r="AC171" s="22" t="str">
        <f t="shared" si="14"/>
        <v>'60%',</v>
      </c>
      <c r="AD171" s="28" t="str">
        <f t="shared" si="15"/>
        <v>'614',</v>
      </c>
      <c r="AE171" s="28" t="str">
        <f t="shared" si="15"/>
        <v>'818',</v>
      </c>
      <c r="AF171" t="str">
        <f t="shared" si="16"/>
        <v>'169',</v>
      </c>
      <c r="AG171" t="str">
        <f t="shared" si="17"/>
        <v>'Cresterea plantelor incetineste.'),</v>
      </c>
      <c r="AL171" s="25">
        <v>6.14</v>
      </c>
      <c r="AM171" s="25">
        <v>8.18</v>
      </c>
      <c r="AX171">
        <v>1169</v>
      </c>
      <c r="AY171" t="s">
        <v>131</v>
      </c>
      <c r="AZ171" t="s">
        <v>132</v>
      </c>
      <c r="BA171" s="22">
        <v>0.41</v>
      </c>
      <c r="BB171" s="22">
        <v>0.6</v>
      </c>
      <c r="BD171">
        <v>169</v>
      </c>
      <c r="BE171" t="s">
        <v>133</v>
      </c>
    </row>
    <row r="172" spans="19:57" x14ac:dyDescent="0.35">
      <c r="S172">
        <v>92</v>
      </c>
      <c r="T172" t="s">
        <v>79</v>
      </c>
      <c r="U172">
        <v>2</v>
      </c>
      <c r="Y172" t="str">
        <f t="shared" si="12"/>
        <v>('1170',</v>
      </c>
      <c r="Z172" t="str">
        <f t="shared" si="13"/>
        <v>'32°C',</v>
      </c>
      <c r="AA172" t="str">
        <f t="shared" si="13"/>
        <v>'37.9°C',</v>
      </c>
      <c r="AB172" s="22" t="str">
        <f t="shared" si="14"/>
        <v>'30%',</v>
      </c>
      <c r="AC172" s="22" t="str">
        <f t="shared" si="14"/>
        <v>'60%',</v>
      </c>
      <c r="AD172" s="28" t="str">
        <f t="shared" si="15"/>
        <v>'614',</v>
      </c>
      <c r="AE172" s="28" t="str">
        <f t="shared" si="15"/>
        <v>'818',</v>
      </c>
      <c r="AF172" t="str">
        <f t="shared" si="16"/>
        <v>'170',</v>
      </c>
      <c r="AG172" t="str">
        <f t="shared" si="17"/>
        <v>'Cresterea plantelor incetineste.'),</v>
      </c>
      <c r="AL172" s="25">
        <v>6.14</v>
      </c>
      <c r="AM172" s="25">
        <v>8.18</v>
      </c>
      <c r="AX172">
        <v>1170</v>
      </c>
      <c r="AY172" t="s">
        <v>131</v>
      </c>
      <c r="AZ172" t="s">
        <v>132</v>
      </c>
      <c r="BA172" s="22">
        <v>0.3</v>
      </c>
      <c r="BB172" s="22">
        <v>0.6</v>
      </c>
      <c r="BD172">
        <v>170</v>
      </c>
      <c r="BE172" t="s">
        <v>133</v>
      </c>
    </row>
    <row r="173" spans="19:57" x14ac:dyDescent="0.35">
      <c r="S173">
        <v>93</v>
      </c>
      <c r="T173" t="s">
        <v>80</v>
      </c>
      <c r="U173">
        <v>2</v>
      </c>
      <c r="Y173" t="str">
        <f t="shared" si="12"/>
        <v>('1171',</v>
      </c>
      <c r="Z173" t="str">
        <f t="shared" si="13"/>
        <v>'32°C',</v>
      </c>
      <c r="AA173" t="str">
        <f t="shared" si="13"/>
        <v>'37.9°C',</v>
      </c>
      <c r="AB173" s="22" t="str">
        <f t="shared" si="14"/>
        <v>'41%',</v>
      </c>
      <c r="AC173" s="22" t="str">
        <f t="shared" si="14"/>
        <v>'60%',</v>
      </c>
      <c r="AD173" s="28" t="str">
        <f t="shared" si="15"/>
        <v>'614',</v>
      </c>
      <c r="AE173" s="28" t="str">
        <f t="shared" si="15"/>
        <v>'818',</v>
      </c>
      <c r="AF173" t="str">
        <f t="shared" si="16"/>
        <v>'171',</v>
      </c>
      <c r="AG173" t="str">
        <f t="shared" si="17"/>
        <v>'Cresterea plantelor incetineste.'),</v>
      </c>
      <c r="AL173" s="25">
        <v>6.14</v>
      </c>
      <c r="AM173" s="25">
        <v>8.18</v>
      </c>
      <c r="AX173">
        <v>1171</v>
      </c>
      <c r="AY173" t="s">
        <v>131</v>
      </c>
      <c r="AZ173" t="s">
        <v>132</v>
      </c>
      <c r="BA173" s="22">
        <v>0.41</v>
      </c>
      <c r="BB173" s="22">
        <v>0.6</v>
      </c>
      <c r="BD173">
        <v>171</v>
      </c>
      <c r="BE173" t="s">
        <v>133</v>
      </c>
    </row>
    <row r="174" spans="19:57" x14ac:dyDescent="0.35">
      <c r="S174">
        <v>94</v>
      </c>
      <c r="T174" t="s">
        <v>81</v>
      </c>
      <c r="U174">
        <v>2</v>
      </c>
      <c r="Y174" t="str">
        <f t="shared" si="12"/>
        <v>('1172',</v>
      </c>
      <c r="Z174" t="str">
        <f t="shared" si="13"/>
        <v>'32°C',</v>
      </c>
      <c r="AA174" t="str">
        <f t="shared" si="13"/>
        <v>'37.9°C',</v>
      </c>
      <c r="AB174" s="22" t="str">
        <f t="shared" si="14"/>
        <v>'27%',</v>
      </c>
      <c r="AC174" s="22" t="str">
        <f t="shared" si="14"/>
        <v>'60%',</v>
      </c>
      <c r="AD174" s="28" t="str">
        <f t="shared" si="15"/>
        <v>'614',</v>
      </c>
      <c r="AE174" s="28" t="str">
        <f t="shared" si="15"/>
        <v>'818',</v>
      </c>
      <c r="AF174" t="str">
        <f t="shared" si="16"/>
        <v>'172',</v>
      </c>
      <c r="AG174" t="str">
        <f t="shared" si="17"/>
        <v>'Cresterea plantelor incetineste.'),</v>
      </c>
      <c r="AL174" s="25">
        <v>6.14</v>
      </c>
      <c r="AM174" s="25">
        <v>8.18</v>
      </c>
      <c r="AX174">
        <v>1172</v>
      </c>
      <c r="AY174" t="s">
        <v>131</v>
      </c>
      <c r="AZ174" t="s">
        <v>132</v>
      </c>
      <c r="BA174" s="22">
        <v>0.27</v>
      </c>
      <c r="BB174" s="22">
        <v>0.6</v>
      </c>
      <c r="BD174">
        <v>172</v>
      </c>
      <c r="BE174" t="s">
        <v>133</v>
      </c>
    </row>
    <row r="175" spans="19:57" x14ac:dyDescent="0.35">
      <c r="S175">
        <v>95</v>
      </c>
      <c r="T175" t="s">
        <v>15</v>
      </c>
      <c r="U175">
        <v>2</v>
      </c>
      <c r="Y175" t="str">
        <f t="shared" si="12"/>
        <v>('1173',</v>
      </c>
      <c r="Z175" t="str">
        <f t="shared" si="13"/>
        <v>'32°C',</v>
      </c>
      <c r="AA175" t="str">
        <f t="shared" si="13"/>
        <v>'37.9°C',</v>
      </c>
      <c r="AB175" s="22" t="str">
        <f t="shared" si="14"/>
        <v>'41%',</v>
      </c>
      <c r="AC175" s="22" t="str">
        <f t="shared" si="14"/>
        <v>'60%',</v>
      </c>
      <c r="AD175" s="28" t="str">
        <f t="shared" si="15"/>
        <v>'614',</v>
      </c>
      <c r="AE175" s="28" t="str">
        <f t="shared" si="15"/>
        <v>'818',</v>
      </c>
      <c r="AF175" t="str">
        <f t="shared" si="16"/>
        <v>'173',</v>
      </c>
      <c r="AG175" t="str">
        <f t="shared" si="17"/>
        <v>'Cresterea plantelor incetineste.'),</v>
      </c>
      <c r="AL175" s="25">
        <v>6.14</v>
      </c>
      <c r="AM175" s="25">
        <v>8.18</v>
      </c>
      <c r="AX175">
        <v>1173</v>
      </c>
      <c r="AY175" t="s">
        <v>131</v>
      </c>
      <c r="AZ175" t="s">
        <v>132</v>
      </c>
      <c r="BA175" s="22">
        <v>0.41</v>
      </c>
      <c r="BB175" s="22">
        <v>0.6</v>
      </c>
      <c r="BD175">
        <v>173</v>
      </c>
      <c r="BE175" t="s">
        <v>133</v>
      </c>
    </row>
    <row r="176" spans="19:57" x14ac:dyDescent="0.35">
      <c r="S176">
        <v>96</v>
      </c>
      <c r="T176" t="s">
        <v>16</v>
      </c>
      <c r="U176">
        <v>2</v>
      </c>
      <c r="Y176" t="str">
        <f t="shared" si="12"/>
        <v>('1174',</v>
      </c>
      <c r="Z176" t="str">
        <f t="shared" si="13"/>
        <v>'32°C',</v>
      </c>
      <c r="AA176" t="str">
        <f t="shared" si="13"/>
        <v>'37.9°C',</v>
      </c>
      <c r="AB176" s="22" t="str">
        <f t="shared" si="14"/>
        <v>'41%',</v>
      </c>
      <c r="AC176" s="22" t="str">
        <f t="shared" si="14"/>
        <v>'60%',</v>
      </c>
      <c r="AD176" s="28" t="str">
        <f t="shared" si="15"/>
        <v>'614',</v>
      </c>
      <c r="AE176" s="28" t="str">
        <f t="shared" si="15"/>
        <v>'818',</v>
      </c>
      <c r="AF176" t="str">
        <f t="shared" si="16"/>
        <v>'174',</v>
      </c>
      <c r="AG176" t="str">
        <f t="shared" si="17"/>
        <v>'Cresterea plantelor incetineste.'),</v>
      </c>
      <c r="AL176" s="25">
        <v>6.14</v>
      </c>
      <c r="AM176" s="25">
        <v>8.18</v>
      </c>
      <c r="AX176">
        <v>1174</v>
      </c>
      <c r="AY176" t="s">
        <v>131</v>
      </c>
      <c r="AZ176" t="s">
        <v>132</v>
      </c>
      <c r="BA176" s="22">
        <v>0.41</v>
      </c>
      <c r="BB176" s="22">
        <v>0.6</v>
      </c>
      <c r="BD176">
        <v>174</v>
      </c>
      <c r="BE176" t="s">
        <v>133</v>
      </c>
    </row>
    <row r="177" spans="19:57" x14ac:dyDescent="0.35">
      <c r="S177">
        <v>97</v>
      </c>
      <c r="T177" t="s">
        <v>82</v>
      </c>
      <c r="U177">
        <v>2</v>
      </c>
      <c r="Y177" t="str">
        <f t="shared" si="12"/>
        <v>('1175',</v>
      </c>
      <c r="Z177" t="str">
        <f t="shared" si="13"/>
        <v>'32°C',</v>
      </c>
      <c r="AA177" t="str">
        <f t="shared" si="13"/>
        <v>'37.9°C',</v>
      </c>
      <c r="AB177" s="22" t="str">
        <f t="shared" si="14"/>
        <v>'41%',</v>
      </c>
      <c r="AC177" s="22" t="str">
        <f t="shared" si="14"/>
        <v>'60%',</v>
      </c>
      <c r="AD177" s="28" t="str">
        <f t="shared" si="15"/>
        <v>'614',</v>
      </c>
      <c r="AE177" s="28" t="str">
        <f t="shared" si="15"/>
        <v>'818',</v>
      </c>
      <c r="AF177" t="str">
        <f t="shared" si="16"/>
        <v>'175',</v>
      </c>
      <c r="AG177" t="str">
        <f t="shared" si="17"/>
        <v>'Cresterea plantelor incetineste.'),</v>
      </c>
      <c r="AL177" s="25">
        <v>6.14</v>
      </c>
      <c r="AM177" s="25">
        <v>8.18</v>
      </c>
      <c r="AX177">
        <v>1175</v>
      </c>
      <c r="AY177" t="s">
        <v>131</v>
      </c>
      <c r="AZ177" t="s">
        <v>132</v>
      </c>
      <c r="BA177" s="22">
        <v>0.41</v>
      </c>
      <c r="BB177" s="22">
        <v>0.6</v>
      </c>
      <c r="BD177">
        <v>175</v>
      </c>
      <c r="BE177" t="s">
        <v>133</v>
      </c>
    </row>
    <row r="178" spans="19:57" x14ac:dyDescent="0.35">
      <c r="S178">
        <v>98</v>
      </c>
      <c r="T178" t="s">
        <v>83</v>
      </c>
      <c r="U178">
        <v>2</v>
      </c>
      <c r="Y178" t="str">
        <f t="shared" si="12"/>
        <v>('1176',</v>
      </c>
      <c r="Z178" t="str">
        <f t="shared" si="13"/>
        <v>'32°C',</v>
      </c>
      <c r="AA178" t="str">
        <f t="shared" si="13"/>
        <v>'37.9°C',</v>
      </c>
      <c r="AB178" s="22" t="str">
        <f t="shared" si="14"/>
        <v>'41%',</v>
      </c>
      <c r="AC178" s="22" t="str">
        <f t="shared" si="14"/>
        <v>'60%',</v>
      </c>
      <c r="AD178" s="28" t="str">
        <f t="shared" si="15"/>
        <v>'614',</v>
      </c>
      <c r="AE178" s="28" t="str">
        <f t="shared" si="15"/>
        <v>'818',</v>
      </c>
      <c r="AF178" t="str">
        <f t="shared" si="16"/>
        <v>'176',</v>
      </c>
      <c r="AG178" t="str">
        <f t="shared" si="17"/>
        <v>'Cresterea plantelor incetineste.'),</v>
      </c>
      <c r="AL178" s="25">
        <v>6.14</v>
      </c>
      <c r="AM178" s="25">
        <v>8.18</v>
      </c>
      <c r="AX178">
        <v>1176</v>
      </c>
      <c r="AY178" t="s">
        <v>131</v>
      </c>
      <c r="AZ178" t="s">
        <v>132</v>
      </c>
      <c r="BA178" s="22">
        <v>0.41</v>
      </c>
      <c r="BB178" s="22">
        <v>0.6</v>
      </c>
      <c r="BD178">
        <v>176</v>
      </c>
      <c r="BE178" t="s">
        <v>133</v>
      </c>
    </row>
    <row r="179" spans="19:57" x14ac:dyDescent="0.35">
      <c r="S179">
        <v>99</v>
      </c>
      <c r="T179" t="s">
        <v>84</v>
      </c>
      <c r="U179">
        <v>2</v>
      </c>
      <c r="Y179" t="str">
        <f t="shared" si="12"/>
        <v>('1177',</v>
      </c>
      <c r="Z179" t="str">
        <f t="shared" si="13"/>
        <v>'18°C',</v>
      </c>
      <c r="AA179" t="str">
        <f t="shared" si="13"/>
        <v>'31.9°C',</v>
      </c>
      <c r="AB179" s="22" t="str">
        <f t="shared" si="14"/>
        <v>'21%',</v>
      </c>
      <c r="AC179" s="22" t="str">
        <f t="shared" si="14"/>
        <v>'80%',</v>
      </c>
      <c r="AD179" s="28" t="str">
        <f t="shared" si="15"/>
        <v>'614',</v>
      </c>
      <c r="AE179" s="28" t="str">
        <f t="shared" si="15"/>
        <v>'818',</v>
      </c>
      <c r="AF179" t="str">
        <f t="shared" si="16"/>
        <v>'177',</v>
      </c>
      <c r="AG179" t="str">
        <f t="shared" si="17"/>
        <v>'Interval ideal pentru nitrificare, cresterea plantelor si plantare'),</v>
      </c>
      <c r="AL179" s="25">
        <v>6.14</v>
      </c>
      <c r="AM179" s="25">
        <v>8.18</v>
      </c>
      <c r="AX179">
        <v>1177</v>
      </c>
      <c r="AY179" t="s">
        <v>134</v>
      </c>
      <c r="AZ179" t="s">
        <v>135</v>
      </c>
      <c r="BA179" s="22">
        <v>0.21</v>
      </c>
      <c r="BB179" s="22">
        <v>0.8</v>
      </c>
      <c r="BD179">
        <v>177</v>
      </c>
      <c r="BE179" t="s">
        <v>136</v>
      </c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Ana-Maria</dc:creator>
  <cp:lastModifiedBy>Ana-Maria Vizireanu</cp:lastModifiedBy>
  <dcterms:created xsi:type="dcterms:W3CDTF">2015-06-05T18:17:20Z</dcterms:created>
  <dcterms:modified xsi:type="dcterms:W3CDTF">2025-05-05T18:16:13Z</dcterms:modified>
</cp:coreProperties>
</file>